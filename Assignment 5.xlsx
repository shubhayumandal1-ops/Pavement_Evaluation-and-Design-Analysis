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ubhayu\Desktop\5th Sem\Transport Lab\"/>
    </mc:Choice>
  </mc:AlternateContent>
  <xr:revisionPtr revIDLastSave="0" documentId="13_ncr:1_{23BA593A-81F7-4207-BC49-6CC8BC7438E6}" xr6:coauthVersionLast="47" xr6:coauthVersionMax="47" xr10:uidLastSave="{00000000-0000-0000-0000-000000000000}"/>
  <bookViews>
    <workbookView xWindow="-110" yWindow="-110" windowWidth="19420" windowHeight="10300" xr2:uid="{35D1CAF2-5D2C-4E6D-9B84-E339ABA522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E5" i="1" s="1"/>
  <c r="D3" i="1"/>
  <c r="D5" i="1" s="1"/>
  <c r="C3" i="1"/>
  <c r="C5" i="1" s="1"/>
  <c r="B3" i="1"/>
  <c r="B5" i="1" s="1"/>
  <c r="J2" i="1"/>
  <c r="B6" i="1" l="1"/>
  <c r="D6" i="1"/>
  <c r="C8" i="1" l="1"/>
  <c r="C10" i="1" s="1"/>
  <c r="C11" i="1" s="1"/>
  <c r="C12" i="1" s="1"/>
  <c r="B16" i="1" s="1"/>
  <c r="C16" i="1" s="1"/>
  <c r="B15" i="1" l="1"/>
  <c r="B17" i="1" l="1"/>
  <c r="C15" i="1"/>
</calcChain>
</file>

<file path=xl/sharedStrings.xml><?xml version="1.0" encoding="utf-8"?>
<sst xmlns="http://schemas.openxmlformats.org/spreadsheetml/2006/main" count="21" uniqueCount="21">
  <si>
    <t>NB</t>
  </si>
  <si>
    <t>SB</t>
  </si>
  <si>
    <t>EB</t>
  </si>
  <si>
    <t>WB</t>
  </si>
  <si>
    <t>n</t>
  </si>
  <si>
    <t>l</t>
  </si>
  <si>
    <t>R</t>
  </si>
  <si>
    <t>L</t>
  </si>
  <si>
    <t>Width</t>
  </si>
  <si>
    <t>Si</t>
  </si>
  <si>
    <t>Q</t>
  </si>
  <si>
    <t>Y= Q/S</t>
  </si>
  <si>
    <t>Critical Yi</t>
  </si>
  <si>
    <t>Sum (Yi) =</t>
  </si>
  <si>
    <t>Co =</t>
  </si>
  <si>
    <t>Ultimate Co</t>
  </si>
  <si>
    <t>Eff Green Time</t>
  </si>
  <si>
    <t>N-S, G1</t>
  </si>
  <si>
    <t>E-W,G2</t>
  </si>
  <si>
    <t>SUM</t>
  </si>
  <si>
    <t>(All red time)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</si>
</sst>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2" borderId="0" xfId="0" applyFill="1"/>
    <xf numFmtId="0" fontId="0" fillId="3" borderId="7" xfId="0" applyFill="1" applyBorder="1"/>
    <xf numFmtId="0" fontId="0" fillId="4" borderId="0" xfId="0" applyFill="1"/>
    <xf numFmtId="0" fontId="1" fillId="0" borderId="0" xfId="0" applyFont="1" applyAlignment="1">
      <alignment horizontal="center"/>
    </xf>
    <xf numFmtId="0" fontId="0" fillId="5" borderId="0" xfId="0" applyFill="1"/>
    <xf numFmtId="1" fontId="0" fillId="0" borderId="0" xfId="0" applyNumberFormat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0" xfId="0" applyFill="1" applyAlignment="1">
      <alignment horizontal="left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B43A7-C3A8-464D-B303-29E93978982D}">
  <dimension ref="A1:R17"/>
  <sheetViews>
    <sheetView tabSelected="1" workbookViewId="0">
      <selection activeCell="N17" sqref="N17"/>
    </sheetView>
  </sheetViews>
  <sheetFormatPr defaultRowHeight="14.5" x14ac:dyDescent="0.35"/>
  <cols>
    <col min="2" max="2" width="13.6328125" customWidth="1"/>
    <col min="5" max="5" width="11.26953125" customWidth="1"/>
  </cols>
  <sheetData>
    <row r="1" spans="1:18" x14ac:dyDescent="0.35">
      <c r="A1" s="1"/>
      <c r="B1" s="2" t="s">
        <v>0</v>
      </c>
      <c r="C1" s="2" t="s">
        <v>1</v>
      </c>
      <c r="D1" s="2" t="s">
        <v>2</v>
      </c>
      <c r="E1" s="2" t="s">
        <v>3</v>
      </c>
      <c r="F1" s="3"/>
      <c r="G1" s="4" t="s">
        <v>4</v>
      </c>
      <c r="H1" s="5" t="s">
        <v>5</v>
      </c>
      <c r="I1" s="5" t="s">
        <v>6</v>
      </c>
      <c r="J1" s="6" t="s">
        <v>7</v>
      </c>
      <c r="K1" s="3"/>
      <c r="L1" s="3"/>
    </row>
    <row r="2" spans="1:18" x14ac:dyDescent="0.35">
      <c r="A2" s="2" t="s">
        <v>8</v>
      </c>
      <c r="B2" s="1">
        <v>4.0999999999999996</v>
      </c>
      <c r="C2" s="1">
        <v>3.9</v>
      </c>
      <c r="D2" s="1">
        <v>4</v>
      </c>
      <c r="E2" s="1">
        <v>3.7</v>
      </c>
      <c r="F2" s="3"/>
      <c r="G2" s="7">
        <v>2</v>
      </c>
      <c r="H2" s="8">
        <v>2.5</v>
      </c>
      <c r="I2" s="8">
        <v>4</v>
      </c>
      <c r="J2" s="9">
        <f>(G2*H2+I2)</f>
        <v>9</v>
      </c>
      <c r="K2" s="3"/>
      <c r="L2" s="3"/>
    </row>
    <row r="3" spans="1:18" x14ac:dyDescent="0.35">
      <c r="A3" s="2" t="s">
        <v>9</v>
      </c>
      <c r="B3" s="10">
        <f>(525*B2)</f>
        <v>2152.5</v>
      </c>
      <c r="C3" s="10">
        <f t="shared" ref="C3:E3" si="0">(525*C2)</f>
        <v>2047.5</v>
      </c>
      <c r="D3" s="1">
        <f t="shared" si="0"/>
        <v>2100</v>
      </c>
      <c r="E3" s="1">
        <f t="shared" si="0"/>
        <v>1942.5</v>
      </c>
      <c r="F3" s="3"/>
      <c r="G3" s="3"/>
      <c r="H3" s="3"/>
      <c r="I3" s="3"/>
      <c r="J3" s="3"/>
      <c r="K3" s="3"/>
      <c r="L3" s="3"/>
    </row>
    <row r="4" spans="1:18" x14ac:dyDescent="0.35">
      <c r="A4" s="2" t="s">
        <v>10</v>
      </c>
      <c r="B4" s="1">
        <v>600</v>
      </c>
      <c r="C4" s="1">
        <v>590</v>
      </c>
      <c r="D4" s="1">
        <v>730</v>
      </c>
      <c r="E4" s="1">
        <v>790</v>
      </c>
      <c r="F4" s="3"/>
      <c r="G4" s="3"/>
      <c r="H4" s="3"/>
      <c r="I4" s="3"/>
      <c r="J4" s="3"/>
      <c r="K4" s="3"/>
      <c r="L4" s="3"/>
    </row>
    <row r="5" spans="1:18" x14ac:dyDescent="0.35">
      <c r="A5" s="2" t="s">
        <v>11</v>
      </c>
      <c r="B5" s="11">
        <f>ROUNDUP(B4/B3,3)</f>
        <v>0.27900000000000003</v>
      </c>
      <c r="C5" s="11">
        <f t="shared" ref="C5:E5" si="1">ROUNDUP(C4/C3,3)</f>
        <v>0.28899999999999998</v>
      </c>
      <c r="D5" s="11">
        <f t="shared" si="1"/>
        <v>0.34799999999999998</v>
      </c>
      <c r="E5" s="11">
        <f t="shared" si="1"/>
        <v>0.40700000000000003</v>
      </c>
      <c r="F5" s="3"/>
      <c r="G5" s="3"/>
      <c r="H5" s="3"/>
      <c r="I5" s="3"/>
      <c r="J5" s="3"/>
      <c r="K5" s="3"/>
      <c r="L5" s="3"/>
    </row>
    <row r="6" spans="1:18" x14ac:dyDescent="0.35">
      <c r="A6" s="2" t="s">
        <v>12</v>
      </c>
      <c r="B6" s="23">
        <f>MAX(B5,C5)</f>
        <v>0.28899999999999998</v>
      </c>
      <c r="C6" s="23"/>
      <c r="D6" s="23">
        <f>MAX(D5,E5)</f>
        <v>0.40700000000000003</v>
      </c>
      <c r="E6" s="23"/>
      <c r="F6" s="3"/>
      <c r="G6" s="3"/>
      <c r="H6" s="3"/>
      <c r="I6" s="3"/>
      <c r="J6" s="3"/>
      <c r="K6" s="3"/>
      <c r="L6" s="3"/>
      <c r="M6" s="12"/>
      <c r="N6" s="12"/>
      <c r="O6" s="13"/>
      <c r="P6" s="14"/>
      <c r="Q6" s="14"/>
      <c r="R6" s="14"/>
    </row>
    <row r="7" spans="1:18" x14ac:dyDescent="0.35">
      <c r="A7" s="1"/>
      <c r="B7" s="1"/>
      <c r="C7" s="1"/>
      <c r="D7" s="1"/>
      <c r="E7" s="1"/>
      <c r="F7" s="3"/>
      <c r="G7" s="3"/>
      <c r="H7" s="3"/>
      <c r="I7" s="3"/>
      <c r="J7" s="3"/>
      <c r="K7" s="3"/>
      <c r="L7" s="3"/>
    </row>
    <row r="8" spans="1:18" x14ac:dyDescent="0.35">
      <c r="A8" s="1"/>
      <c r="B8" s="2" t="s">
        <v>13</v>
      </c>
      <c r="C8" s="11">
        <f>(B6+D6)</f>
        <v>0.69599999999999995</v>
      </c>
      <c r="D8" s="1"/>
      <c r="E8" s="1"/>
      <c r="F8" s="3"/>
      <c r="G8" s="3"/>
      <c r="H8" s="3"/>
      <c r="I8" s="3"/>
      <c r="J8" s="3"/>
      <c r="K8" s="3"/>
      <c r="L8" s="3"/>
    </row>
    <row r="9" spans="1:18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8" x14ac:dyDescent="0.35">
      <c r="A10" s="3"/>
      <c r="B10" s="15" t="s">
        <v>14</v>
      </c>
      <c r="C10" s="3">
        <f>((1.5*J2+5)/(1-C8))</f>
        <v>60.855263157894726</v>
      </c>
      <c r="D10" s="3"/>
      <c r="E10" s="3"/>
      <c r="F10" s="3"/>
      <c r="G10" s="3"/>
      <c r="H10" s="3"/>
      <c r="I10" s="3"/>
      <c r="J10" s="3"/>
      <c r="K10" s="3"/>
      <c r="L10" s="3"/>
    </row>
    <row r="11" spans="1:18" x14ac:dyDescent="0.35">
      <c r="A11" s="3"/>
      <c r="B11" s="15" t="s">
        <v>15</v>
      </c>
      <c r="C11" s="3">
        <f>IF(C10&gt;120,120,ROUND(C10,0))</f>
        <v>61</v>
      </c>
      <c r="D11" s="3"/>
      <c r="E11" s="3"/>
      <c r="F11" s="3"/>
      <c r="G11" s="3"/>
      <c r="H11" s="3"/>
      <c r="I11" s="3"/>
      <c r="J11" s="3"/>
      <c r="K11" s="3"/>
      <c r="L11" s="3"/>
    </row>
    <row r="12" spans="1:18" x14ac:dyDescent="0.35">
      <c r="A12" s="3"/>
      <c r="B12" s="15" t="s">
        <v>16</v>
      </c>
      <c r="C12" s="3">
        <f>C11-J2</f>
        <v>52</v>
      </c>
      <c r="D12" s="3"/>
      <c r="E12" s="3"/>
      <c r="F12" s="3"/>
      <c r="G12" s="3"/>
      <c r="H12" s="3"/>
      <c r="I12" s="3"/>
      <c r="J12" s="3"/>
      <c r="K12" s="3"/>
      <c r="L12" s="3"/>
    </row>
    <row r="13" spans="1:18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8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8" x14ac:dyDescent="0.35">
      <c r="A15" s="15" t="s">
        <v>17</v>
      </c>
      <c r="B15" s="3">
        <f>((C5/C8)*C12)</f>
        <v>21.591954022988507</v>
      </c>
      <c r="C15" s="17">
        <f>B15</f>
        <v>21.591954022988507</v>
      </c>
      <c r="F15" s="16"/>
      <c r="G15" s="16"/>
      <c r="H15" s="18">
        <v>22</v>
      </c>
      <c r="I15" s="16"/>
      <c r="J15" s="16"/>
      <c r="K15" s="19">
        <v>2</v>
      </c>
      <c r="L15" s="20">
        <v>4</v>
      </c>
      <c r="M15" s="14"/>
      <c r="N15" s="14"/>
      <c r="O15" s="14">
        <v>33</v>
      </c>
      <c r="P15" s="14"/>
      <c r="Q15" s="14"/>
    </row>
    <row r="16" spans="1:18" x14ac:dyDescent="0.35">
      <c r="A16" s="15" t="s">
        <v>18</v>
      </c>
      <c r="B16" s="3">
        <f>((E5/C8)*C12)</f>
        <v>30.408045977011501</v>
      </c>
      <c r="C16" s="17">
        <f>B16</f>
        <v>30.408045977011501</v>
      </c>
      <c r="F16" s="14"/>
      <c r="G16" s="14"/>
      <c r="H16" s="14"/>
      <c r="I16" s="22">
        <v>24</v>
      </c>
      <c r="J16" s="14"/>
      <c r="K16" s="14"/>
      <c r="L16" s="21">
        <v>4</v>
      </c>
      <c r="M16" s="16"/>
      <c r="N16" s="16">
        <v>30</v>
      </c>
      <c r="O16" s="16"/>
      <c r="P16" s="18"/>
      <c r="Q16" s="19">
        <v>2</v>
      </c>
    </row>
    <row r="17" spans="1:12" x14ac:dyDescent="0.35">
      <c r="A17" s="2" t="s">
        <v>19</v>
      </c>
      <c r="B17" s="1">
        <f>B15+B16</f>
        <v>52.000000000000007</v>
      </c>
      <c r="L17" s="3" t="s">
        <v>20</v>
      </c>
    </row>
  </sheetData>
  <mergeCells count="2">
    <mergeCell ref="B6:C6"/>
    <mergeCell ref="D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124CE0002 (SHUBHAYU MANDAL)</dc:creator>
  <cp:lastModifiedBy>124CE0002 (SHUBHAYU MANDAL)</cp:lastModifiedBy>
  <dcterms:created xsi:type="dcterms:W3CDTF">2026-09-12T20:33:07Z</dcterms:created>
  <dcterms:modified xsi:type="dcterms:W3CDTF">2026-09-16T08:43:23Z</dcterms:modified>
</cp:coreProperties>
</file>