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yu\Desktop\5th Sem\Transport Lab\"/>
    </mc:Choice>
  </mc:AlternateContent>
  <xr:revisionPtr revIDLastSave="0" documentId="8_{910A520A-D617-4134-A617-53FA19204A24}" xr6:coauthVersionLast="47" xr6:coauthVersionMax="47" xr10:uidLastSave="{00000000-0000-0000-0000-000000000000}"/>
  <bookViews>
    <workbookView xWindow="-110" yWindow="-110" windowWidth="19420" windowHeight="10300" xr2:uid="{3308BC66-780C-4685-94F9-425B34A32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" l="1"/>
  <c r="B30" i="1" s="1"/>
  <c r="B26" i="1"/>
  <c r="B25" i="1"/>
  <c r="B24" i="1"/>
  <c r="B28" i="1" s="1"/>
  <c r="B9" i="1"/>
  <c r="B12" i="1"/>
  <c r="B8" i="1"/>
  <c r="B7" i="1"/>
  <c r="B11" i="1" s="1"/>
  <c r="B13" i="1" l="1"/>
</calcChain>
</file>

<file path=xl/sharedStrings.xml><?xml version="1.0" encoding="utf-8"?>
<sst xmlns="http://schemas.openxmlformats.org/spreadsheetml/2006/main" count="36" uniqueCount="19">
  <si>
    <t>Initial Directional Traffic</t>
  </si>
  <si>
    <t>No of Days</t>
  </si>
  <si>
    <t>Traffic Growth Rate (r)</t>
  </si>
  <si>
    <t>Lateral Distribution Factor (D)</t>
  </si>
  <si>
    <t>Vehicle Damage Factor (F)</t>
  </si>
  <si>
    <t>Design life Period (N)</t>
  </si>
  <si>
    <t>Effective CBR(%)</t>
  </si>
  <si>
    <t>Thickness of Granular Layer, h(mm)</t>
  </si>
  <si>
    <t>Vbe (effective binder content) (%)</t>
  </si>
  <si>
    <t>Va (air void) (%)</t>
  </si>
  <si>
    <t xml:space="preserve">N(des)[MSA] = </t>
  </si>
  <si>
    <t>M(rm) subgrade[MPa] =</t>
  </si>
  <si>
    <t>M(rm) granular[MPa] =</t>
  </si>
  <si>
    <t>M(rm) bituminous [Mpa] =</t>
  </si>
  <si>
    <t>Ev (Vertical compressive strain) =</t>
  </si>
  <si>
    <t>C for (Et) =</t>
  </si>
  <si>
    <t>Et (Horizontal Tensile strain) =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</si>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</sst>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" fontId="0" fillId="4" borderId="0" xfId="0" applyNumberFormat="1" applyFill="1"/>
    <xf numFmtId="0" fontId="0" fillId="4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19CA-AE62-433C-8390-1BCECAA7A677}">
  <dimension ref="A1:J30"/>
  <sheetViews>
    <sheetView tabSelected="1" topLeftCell="A9" zoomScale="80" zoomScaleNormal="80" workbookViewId="0">
      <selection activeCell="B27" sqref="B27"/>
    </sheetView>
  </sheetViews>
  <sheetFormatPr defaultRowHeight="14.5" x14ac:dyDescent="0.35"/>
  <cols>
    <col min="1" max="1" width="28.08984375" customWidth="1"/>
    <col min="2" max="2" width="10.26953125" customWidth="1"/>
    <col min="3" max="3" width="18.453125" customWidth="1"/>
    <col min="4" max="4" width="25.1796875" customWidth="1"/>
    <col min="5" max="5" width="22.6328125" customWidth="1"/>
    <col min="6" max="6" width="17.90625" customWidth="1"/>
    <col min="7" max="7" width="14.453125" customWidth="1"/>
    <col min="8" max="8" width="29.7265625" customWidth="1"/>
    <col min="9" max="9" width="29.26953125" customWidth="1"/>
    <col min="10" max="10" width="14.1796875" customWidth="1"/>
  </cols>
  <sheetData>
    <row r="1" spans="1:10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2410</v>
      </c>
      <c r="B2" s="2">
        <v>365</v>
      </c>
      <c r="C2" s="2">
        <v>6.3E-2</v>
      </c>
      <c r="D2" s="2">
        <v>0.75</v>
      </c>
      <c r="E2" s="2">
        <v>3.71</v>
      </c>
      <c r="F2" s="2">
        <v>13</v>
      </c>
      <c r="G2" s="2">
        <v>6.8</v>
      </c>
      <c r="H2" s="2">
        <v>450</v>
      </c>
      <c r="I2" s="2">
        <v>11.8</v>
      </c>
      <c r="J2" s="2">
        <v>3.2</v>
      </c>
    </row>
    <row r="7" spans="1:10" x14ac:dyDescent="0.35">
      <c r="A7" s="1" t="s">
        <v>10</v>
      </c>
      <c r="B7" s="3">
        <f>((A2*B2*D2*E2*(((1+C2)^F2)-1)/C2)/10^6)</f>
        <v>47.11682059938763</v>
      </c>
    </row>
    <row r="8" spans="1:10" x14ac:dyDescent="0.35">
      <c r="A8" s="1" t="s">
        <v>11</v>
      </c>
      <c r="B8" s="3">
        <f>17.6*(G2)^0.64</f>
        <v>60.023093140080803</v>
      </c>
    </row>
    <row r="9" spans="1:10" x14ac:dyDescent="0.35">
      <c r="A9" s="1" t="s">
        <v>12</v>
      </c>
      <c r="B9" s="3">
        <f>((0.2*H2^0.45)*61)</f>
        <v>190.68013989177561</v>
      </c>
    </row>
    <row r="10" spans="1:10" x14ac:dyDescent="0.35">
      <c r="A10" s="1" t="s">
        <v>13</v>
      </c>
      <c r="B10" s="3">
        <v>3400</v>
      </c>
      <c r="F10" s="5" t="s">
        <v>17</v>
      </c>
    </row>
    <row r="11" spans="1:10" x14ac:dyDescent="0.35">
      <c r="A11" s="1" t="s">
        <v>14</v>
      </c>
      <c r="B11" s="4">
        <f>(((1.41*10^(-8))/(B7*10^6))^(1/4.5337))</f>
        <v>3.7659513196123233E-4</v>
      </c>
    </row>
    <row r="12" spans="1:10" x14ac:dyDescent="0.35">
      <c r="A12" s="1" t="s">
        <v>15</v>
      </c>
      <c r="B12" s="4">
        <f>(10^(4.84*((I2/(I2+J2))-0.69)))</f>
        <v>2.9367478986199322</v>
      </c>
    </row>
    <row r="13" spans="1:10" x14ac:dyDescent="0.35">
      <c r="A13" s="1" t="s">
        <v>16</v>
      </c>
      <c r="B13" s="4">
        <f>(((0.5161*B12*10^(-4)*(1/B10)^(0.854))/(B7*10^6))^(1/3.89))</f>
        <v>1.8634560979242638E-4</v>
      </c>
    </row>
    <row r="18" spans="1:10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</row>
    <row r="19" spans="1:10" x14ac:dyDescent="0.35">
      <c r="A19" s="2">
        <v>2410</v>
      </c>
      <c r="B19" s="2">
        <v>365</v>
      </c>
      <c r="C19" s="2">
        <v>6.3E-2</v>
      </c>
      <c r="D19" s="2">
        <v>0.75</v>
      </c>
      <c r="E19" s="2">
        <v>6.51</v>
      </c>
      <c r="F19" s="2">
        <v>13</v>
      </c>
      <c r="G19" s="2">
        <v>6.8</v>
      </c>
      <c r="H19" s="2">
        <v>450</v>
      </c>
      <c r="I19" s="2">
        <v>11.8</v>
      </c>
      <c r="J19" s="2">
        <v>3.2</v>
      </c>
    </row>
    <row r="24" spans="1:10" x14ac:dyDescent="0.35">
      <c r="A24" s="1" t="s">
        <v>10</v>
      </c>
      <c r="B24" s="3">
        <f>((A19*B19*D19*E19*(((1+C19)^F19)-1)/C19)/10^6)</f>
        <v>82.676685202699034</v>
      </c>
    </row>
    <row r="25" spans="1:10" x14ac:dyDescent="0.35">
      <c r="A25" s="1" t="s">
        <v>11</v>
      </c>
      <c r="B25" s="3">
        <f>17.6*(G19)^0.64</f>
        <v>60.023093140080803</v>
      </c>
    </row>
    <row r="26" spans="1:10" x14ac:dyDescent="0.35">
      <c r="A26" s="1" t="s">
        <v>12</v>
      </c>
      <c r="B26" s="3">
        <f>((0.2*H19^0.45)*61)</f>
        <v>190.68013989177561</v>
      </c>
    </row>
    <row r="27" spans="1:10" x14ac:dyDescent="0.35">
      <c r="A27" s="1" t="s">
        <v>13</v>
      </c>
      <c r="B27" s="3">
        <v>3400</v>
      </c>
      <c r="F27" s="5" t="s">
        <v>18</v>
      </c>
    </row>
    <row r="28" spans="1:10" x14ac:dyDescent="0.35">
      <c r="A28" s="1" t="s">
        <v>14</v>
      </c>
      <c r="B28" s="4">
        <f>(((1.41*10^(-8))/(B24*10^6))^(1/4.5337))</f>
        <v>3.3266709821681395E-4</v>
      </c>
    </row>
    <row r="29" spans="1:10" x14ac:dyDescent="0.35">
      <c r="A29" s="1" t="s">
        <v>15</v>
      </c>
      <c r="B29" s="4">
        <f>(10^(4.84*((I19/(I19+J19))-0.69)))</f>
        <v>2.9367478986199322</v>
      </c>
    </row>
    <row r="30" spans="1:10" x14ac:dyDescent="0.35">
      <c r="A30" s="1" t="s">
        <v>16</v>
      </c>
      <c r="B30" s="4">
        <f>(((0.5161*B29*10^(-4)*(1/B27)^(0.854))/(B24*10^6))^(1/3.89))</f>
        <v>1.6126532496365002E-4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124CE0002 (SHUBHAYU MANDAL)</dc:creator>
  <cp:lastModifiedBy>124CE0002 (SHUBHAYU MANDAL)</cp:lastModifiedBy>
  <dcterms:created xsi:type="dcterms:W3CDTF">2026-08-17T17:57:36Z</dcterms:created>
  <dcterms:modified xsi:type="dcterms:W3CDTF">2026-08-17T20:05:57Z</dcterms:modified>
</cp:coreProperties>
</file>