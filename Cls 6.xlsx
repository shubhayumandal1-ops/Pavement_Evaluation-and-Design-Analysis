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13_ncr:1_{8013EEB1-28F7-4FD4-B6CC-B4D300337BA3}" xr6:coauthVersionLast="47" xr6:coauthVersionMax="47" xr10:uidLastSave="{00000000-0000-0000-0000-000000000000}"/>
  <bookViews>
    <workbookView xWindow="-110" yWindow="-110" windowWidth="19420" windowHeight="10300" xr2:uid="{A8038111-E820-4D2B-8917-8EF92A2AA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16" i="1"/>
  <c r="I16" i="1" s="1"/>
  <c r="G12" i="1"/>
  <c r="I12" i="1" s="1"/>
  <c r="M18" i="1"/>
  <c r="M17" i="1"/>
  <c r="D14" i="1"/>
  <c r="D12" i="1"/>
  <c r="B19" i="1" s="1"/>
  <c r="O14" i="1"/>
  <c r="O12" i="1"/>
  <c r="B17" i="1"/>
  <c r="B18" i="1"/>
  <c r="M20" i="1" l="1"/>
  <c r="B20" i="1"/>
  <c r="B21" i="1" s="1"/>
  <c r="M19" i="1"/>
  <c r="M21" i="1"/>
  <c r="G19" i="1" l="1"/>
  <c r="G7" i="1" s="1"/>
  <c r="G2" i="1" l="1"/>
  <c r="G6" i="1"/>
  <c r="G8" i="1"/>
  <c r="G5" i="1"/>
</calcChain>
</file>

<file path=xl/sharedStrings.xml><?xml version="1.0" encoding="utf-8"?>
<sst xmlns="http://schemas.openxmlformats.org/spreadsheetml/2006/main" count="58" uniqueCount="44">
  <si>
    <t>Cross Sectional Direction</t>
  </si>
  <si>
    <t>Width (m)</t>
  </si>
  <si>
    <t>EB Cross Section</t>
  </si>
  <si>
    <t>WB Cross Section</t>
  </si>
  <si>
    <t>NB Cross Section</t>
  </si>
  <si>
    <t>SB Cross Section</t>
  </si>
  <si>
    <t>Maximum(m)</t>
  </si>
  <si>
    <t>Direction</t>
  </si>
  <si>
    <t>Distribution</t>
  </si>
  <si>
    <t>Eq Traffic</t>
  </si>
  <si>
    <t>Total Traffic</t>
  </si>
  <si>
    <t>EB</t>
  </si>
  <si>
    <t>WB</t>
  </si>
  <si>
    <t>T=500</t>
  </si>
  <si>
    <t>L=85</t>
  </si>
  <si>
    <t>T=600</t>
  </si>
  <si>
    <t>L=90</t>
  </si>
  <si>
    <t>Saturation Flow (EB)</t>
  </si>
  <si>
    <t>Saturation Flow (WB)</t>
  </si>
  <si>
    <t>Yi(EB)</t>
  </si>
  <si>
    <t>Yi(WB)</t>
  </si>
  <si>
    <t>Phase 1</t>
  </si>
  <si>
    <t>S(r)</t>
  </si>
  <si>
    <t>r(m)</t>
  </si>
  <si>
    <t>Max right Traffic</t>
  </si>
  <si>
    <t>Y(2)</t>
  </si>
  <si>
    <t>Phase 2</t>
  </si>
  <si>
    <t>Phase 3</t>
  </si>
  <si>
    <t>NB</t>
  </si>
  <si>
    <t>SB</t>
  </si>
  <si>
    <t>T=900</t>
  </si>
  <si>
    <t>Phase 4</t>
  </si>
  <si>
    <t>Y(4)</t>
  </si>
  <si>
    <t>Total flow</t>
  </si>
  <si>
    <t>Highest Yi(1)</t>
  </si>
  <si>
    <t>Highest Yi(3)</t>
  </si>
  <si>
    <t>Total Lost Time</t>
  </si>
  <si>
    <t>Co</t>
  </si>
  <si>
    <t>Co final</t>
  </si>
  <si>
    <t>Eff Green time</t>
  </si>
  <si>
    <t>Green time (P1)</t>
  </si>
  <si>
    <t>Green time (P2)</t>
  </si>
  <si>
    <t>Green time (P3)</t>
  </si>
  <si>
    <t>Green time (P4)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</si>
</sst>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/>
    <xf numFmtId="0" fontId="0" fillId="4" borderId="2" xfId="0" applyFill="1" applyBorder="1" applyAlignment="1"/>
    <xf numFmtId="0" fontId="0" fillId="4" borderId="3" xfId="0" applyFill="1" applyBorder="1" applyAlignment="1">
      <alignment horizontal="center" vertical="center"/>
    </xf>
    <xf numFmtId="0" fontId="0" fillId="5" borderId="0" xfId="0" applyFill="1"/>
    <xf numFmtId="0" fontId="0" fillId="4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/>
    <xf numFmtId="0" fontId="0" fillId="5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93E9-310B-41A3-99F7-E9CF40EAD265}">
  <dimension ref="A1:Y21"/>
  <sheetViews>
    <sheetView tabSelected="1" topLeftCell="H1" zoomScaleNormal="100" workbookViewId="0">
      <selection activeCell="T10" sqref="T10"/>
    </sheetView>
  </sheetViews>
  <sheetFormatPr defaultRowHeight="14.5" x14ac:dyDescent="0.35"/>
  <cols>
    <col min="1" max="1" width="21.81640625" customWidth="1"/>
    <col min="2" max="2" width="10.81640625" customWidth="1"/>
    <col min="3" max="3" width="12.1796875" customWidth="1"/>
    <col min="4" max="4" width="11.1796875" customWidth="1"/>
    <col min="6" max="6" width="13.08984375" customWidth="1"/>
    <col min="8" max="8" width="14.26953125" customWidth="1"/>
    <col min="12" max="12" width="17.54296875" customWidth="1"/>
    <col min="13" max="13" width="11.81640625" customWidth="1"/>
    <col min="15" max="15" width="11.36328125" customWidth="1"/>
  </cols>
  <sheetData>
    <row r="1" spans="1:25" x14ac:dyDescent="0.35">
      <c r="A1" t="s">
        <v>0</v>
      </c>
      <c r="B1" t="s">
        <v>1</v>
      </c>
      <c r="C1" t="s">
        <v>6</v>
      </c>
      <c r="F1" t="s">
        <v>36</v>
      </c>
      <c r="G1">
        <v>49</v>
      </c>
    </row>
    <row r="2" spans="1:25" x14ac:dyDescent="0.35">
      <c r="A2" t="s">
        <v>2</v>
      </c>
      <c r="B2">
        <v>13</v>
      </c>
      <c r="C2" s="2">
        <v>15</v>
      </c>
      <c r="F2" t="s">
        <v>37</v>
      </c>
      <c r="G2">
        <f>(((1.5*G1)+5)/(1-G19))</f>
        <v>342.15205374253657</v>
      </c>
      <c r="I2" s="9">
        <v>62</v>
      </c>
      <c r="J2" s="11">
        <v>4</v>
      </c>
      <c r="K2" s="18"/>
      <c r="L2" s="14">
        <v>184</v>
      </c>
      <c r="M2" s="14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x14ac:dyDescent="0.35">
      <c r="A3" t="s">
        <v>3</v>
      </c>
      <c r="B3">
        <v>12.7</v>
      </c>
      <c r="C3" s="2"/>
      <c r="F3" t="s">
        <v>38</v>
      </c>
      <c r="G3">
        <v>250</v>
      </c>
      <c r="I3" s="14">
        <v>66</v>
      </c>
      <c r="J3" s="14"/>
      <c r="K3" s="19">
        <v>8</v>
      </c>
      <c r="L3" s="16">
        <v>18</v>
      </c>
      <c r="M3" s="11">
        <v>4</v>
      </c>
      <c r="N3" s="21"/>
      <c r="O3" s="20"/>
      <c r="P3" s="12"/>
      <c r="Q3" s="12"/>
      <c r="R3" s="12">
        <v>154</v>
      </c>
      <c r="S3" s="12"/>
      <c r="T3" s="12"/>
      <c r="U3" s="12"/>
      <c r="V3" s="12"/>
      <c r="W3" s="12"/>
      <c r="X3" s="12"/>
      <c r="Y3" s="12"/>
    </row>
    <row r="4" spans="1:25" x14ac:dyDescent="0.35">
      <c r="A4" t="s">
        <v>4</v>
      </c>
      <c r="B4">
        <v>15</v>
      </c>
      <c r="C4" s="2"/>
      <c r="F4" t="s">
        <v>39</v>
      </c>
      <c r="G4">
        <f>G3-G1</f>
        <v>201</v>
      </c>
      <c r="I4" s="12"/>
      <c r="J4" s="12"/>
      <c r="K4" s="12">
        <v>96</v>
      </c>
      <c r="L4" s="17"/>
      <c r="M4" s="17"/>
      <c r="N4" s="22">
        <v>8</v>
      </c>
      <c r="O4" s="23"/>
      <c r="P4" s="23">
        <v>82</v>
      </c>
      <c r="Q4" s="23"/>
      <c r="R4" s="25">
        <v>4</v>
      </c>
      <c r="S4" s="26"/>
      <c r="T4" s="13"/>
      <c r="U4" s="24"/>
      <c r="V4" s="12">
        <v>60</v>
      </c>
      <c r="W4" s="12"/>
      <c r="X4" s="12"/>
      <c r="Y4" s="12"/>
    </row>
    <row r="5" spans="1:25" x14ac:dyDescent="0.35">
      <c r="A5" t="s">
        <v>5</v>
      </c>
      <c r="B5">
        <v>13</v>
      </c>
      <c r="C5" s="2"/>
      <c r="F5" t="s">
        <v>40</v>
      </c>
      <c r="G5" s="6">
        <f>(G4*B21/G19)</f>
        <v>62.106171684941472</v>
      </c>
      <c r="I5" s="12"/>
      <c r="J5" s="12"/>
      <c r="K5" s="12"/>
      <c r="L5" s="12"/>
      <c r="M5" s="12">
        <v>190</v>
      </c>
      <c r="N5" s="12"/>
      <c r="O5" s="12"/>
      <c r="P5" s="12"/>
      <c r="Q5" s="12"/>
      <c r="R5" s="12"/>
      <c r="S5" s="22">
        <v>8</v>
      </c>
      <c r="T5" s="27">
        <v>39</v>
      </c>
      <c r="U5" s="11">
        <v>4</v>
      </c>
      <c r="V5" s="13"/>
      <c r="W5" s="12">
        <v>9</v>
      </c>
      <c r="X5" s="12"/>
      <c r="Y5" s="12"/>
    </row>
    <row r="6" spans="1:25" x14ac:dyDescent="0.35">
      <c r="C6" s="3"/>
      <c r="F6" t="s">
        <v>41</v>
      </c>
      <c r="G6" s="6">
        <f>(G4*I12/G19)</f>
        <v>17.93170793002087</v>
      </c>
      <c r="V6" s="27">
        <v>8</v>
      </c>
      <c r="W6" s="28">
        <v>25</v>
      </c>
      <c r="X6" s="10">
        <v>4</v>
      </c>
      <c r="Y6" s="10"/>
    </row>
    <row r="7" spans="1:25" x14ac:dyDescent="0.35">
      <c r="C7" s="3"/>
      <c r="F7" t="s">
        <v>42</v>
      </c>
      <c r="G7" s="6">
        <f>(G4*M21/G19)</f>
        <v>81.980146624122753</v>
      </c>
    </row>
    <row r="8" spans="1:25" x14ac:dyDescent="0.35">
      <c r="C8" s="3"/>
      <c r="F8" t="s">
        <v>43</v>
      </c>
      <c r="G8" s="6">
        <f>(G4*I16/G19)</f>
        <v>38.981973760914926</v>
      </c>
    </row>
    <row r="9" spans="1:25" x14ac:dyDescent="0.35">
      <c r="C9" s="3"/>
    </row>
    <row r="10" spans="1:25" x14ac:dyDescent="0.35">
      <c r="A10" s="7" t="s">
        <v>21</v>
      </c>
      <c r="B10" s="7"/>
      <c r="C10" s="7"/>
      <c r="D10" s="7"/>
      <c r="F10" s="7" t="s">
        <v>26</v>
      </c>
      <c r="G10" s="7"/>
      <c r="H10" s="7"/>
      <c r="I10" s="7"/>
      <c r="J10" s="15"/>
      <c r="L10" s="7" t="s">
        <v>27</v>
      </c>
      <c r="M10" s="7"/>
      <c r="N10" s="7"/>
      <c r="O10" s="7"/>
    </row>
    <row r="11" spans="1:25" x14ac:dyDescent="0.35">
      <c r="A11" t="s">
        <v>7</v>
      </c>
      <c r="B11" t="s">
        <v>8</v>
      </c>
      <c r="C11" t="s">
        <v>9</v>
      </c>
      <c r="D11" t="s">
        <v>10</v>
      </c>
      <c r="F11" s="3" t="s">
        <v>23</v>
      </c>
      <c r="G11" s="1" t="s">
        <v>22</v>
      </c>
      <c r="H11" t="s">
        <v>24</v>
      </c>
      <c r="I11" t="s">
        <v>25</v>
      </c>
      <c r="L11" t="s">
        <v>7</v>
      </c>
      <c r="M11" t="s">
        <v>8</v>
      </c>
      <c r="N11" t="s">
        <v>9</v>
      </c>
      <c r="O11" t="s">
        <v>10</v>
      </c>
    </row>
    <row r="12" spans="1:25" x14ac:dyDescent="0.35">
      <c r="A12" s="2" t="s">
        <v>11</v>
      </c>
      <c r="B12" t="s">
        <v>13</v>
      </c>
      <c r="C12">
        <v>500</v>
      </c>
      <c r="D12" s="5">
        <f>C12+C13</f>
        <v>606.25</v>
      </c>
      <c r="F12">
        <v>20</v>
      </c>
      <c r="G12" s="6">
        <f>1800/(1+(1.52/F12))</f>
        <v>1672.8624535315985</v>
      </c>
      <c r="H12">
        <v>115</v>
      </c>
      <c r="I12" s="4">
        <f>H12/G12</f>
        <v>6.8744444444444441E-2</v>
      </c>
      <c r="J12" s="4"/>
      <c r="L12" s="2" t="s">
        <v>28</v>
      </c>
      <c r="M12" t="s">
        <v>30</v>
      </c>
      <c r="N12">
        <v>500</v>
      </c>
      <c r="O12" s="5">
        <f>(N12+N13)</f>
        <v>590</v>
      </c>
    </row>
    <row r="13" spans="1:25" x14ac:dyDescent="0.35">
      <c r="A13" s="2"/>
      <c r="B13" t="s">
        <v>14</v>
      </c>
      <c r="C13">
        <v>106.25</v>
      </c>
      <c r="D13" s="5"/>
      <c r="L13" s="2"/>
      <c r="M13" t="s">
        <v>16</v>
      </c>
      <c r="N13">
        <v>90</v>
      </c>
      <c r="O13" s="5"/>
    </row>
    <row r="14" spans="1:25" x14ac:dyDescent="0.35">
      <c r="A14" s="2" t="s">
        <v>12</v>
      </c>
      <c r="B14" t="s">
        <v>15</v>
      </c>
      <c r="C14">
        <v>600</v>
      </c>
      <c r="D14" s="5">
        <f>C14+C15</f>
        <v>712.5</v>
      </c>
      <c r="F14" s="7" t="s">
        <v>31</v>
      </c>
      <c r="G14" s="7"/>
      <c r="H14" s="7"/>
      <c r="I14" s="7"/>
      <c r="J14" s="15"/>
      <c r="L14" s="2" t="s">
        <v>29</v>
      </c>
      <c r="M14" t="s">
        <v>30</v>
      </c>
      <c r="N14">
        <v>900</v>
      </c>
      <c r="O14" s="5">
        <f>(N14+N15)</f>
        <v>990</v>
      </c>
    </row>
    <row r="15" spans="1:25" x14ac:dyDescent="0.35">
      <c r="A15" s="2"/>
      <c r="B15" t="s">
        <v>16</v>
      </c>
      <c r="C15">
        <v>112.5</v>
      </c>
      <c r="D15" s="5"/>
      <c r="F15" t="s">
        <v>23</v>
      </c>
      <c r="G15" t="s">
        <v>22</v>
      </c>
      <c r="H15" t="s">
        <v>24</v>
      </c>
      <c r="I15" t="s">
        <v>32</v>
      </c>
      <c r="L15" s="2"/>
      <c r="M15" t="s">
        <v>16</v>
      </c>
      <c r="N15">
        <v>90</v>
      </c>
      <c r="O15" s="5"/>
    </row>
    <row r="16" spans="1:25" x14ac:dyDescent="0.35">
      <c r="F16">
        <v>20</v>
      </c>
      <c r="G16" s="6">
        <f>1800/(1+(1.52/F16))</f>
        <v>1672.8624535315985</v>
      </c>
      <c r="H16">
        <v>250</v>
      </c>
      <c r="I16" s="4">
        <f>H16/G16</f>
        <v>0.14944444444444444</v>
      </c>
      <c r="J16" s="4"/>
    </row>
    <row r="17" spans="1:13" x14ac:dyDescent="0.35">
      <c r="A17" t="s">
        <v>17</v>
      </c>
      <c r="B17">
        <f>525*6</f>
        <v>3150</v>
      </c>
      <c r="L17" t="s">
        <v>17</v>
      </c>
      <c r="M17">
        <f>525*7</f>
        <v>3675</v>
      </c>
    </row>
    <row r="18" spans="1:13" x14ac:dyDescent="0.35">
      <c r="A18" t="s">
        <v>18</v>
      </c>
      <c r="B18">
        <f>525*5.7</f>
        <v>2992.5</v>
      </c>
      <c r="L18" t="s">
        <v>18</v>
      </c>
      <c r="M18">
        <f>525*6</f>
        <v>3150</v>
      </c>
    </row>
    <row r="19" spans="1:13" x14ac:dyDescent="0.35">
      <c r="A19" t="s">
        <v>19</v>
      </c>
      <c r="B19" s="4">
        <f>D12/B17</f>
        <v>0.19246031746031747</v>
      </c>
      <c r="F19" s="8" t="s">
        <v>33</v>
      </c>
      <c r="G19" s="4">
        <f>B21+I12+M21+I16</f>
        <v>0.77056984126984118</v>
      </c>
      <c r="L19" t="s">
        <v>19</v>
      </c>
      <c r="M19" s="4">
        <f>O12/M17</f>
        <v>0.16054421768707483</v>
      </c>
    </row>
    <row r="20" spans="1:13" x14ac:dyDescent="0.35">
      <c r="A20" t="s">
        <v>20</v>
      </c>
      <c r="B20" s="4">
        <f>D14/B18</f>
        <v>0.23809523809523808</v>
      </c>
      <c r="L20" t="s">
        <v>20</v>
      </c>
      <c r="M20" s="4">
        <f>O14/M18</f>
        <v>0.31428571428571428</v>
      </c>
    </row>
    <row r="21" spans="1:13" x14ac:dyDescent="0.35">
      <c r="A21" t="s">
        <v>34</v>
      </c>
      <c r="B21" s="4">
        <f>MAX(B19,B20)</f>
        <v>0.23809523809523808</v>
      </c>
      <c r="L21" t="s">
        <v>35</v>
      </c>
      <c r="M21" s="4">
        <f>MAX(M19,M20)</f>
        <v>0.31428571428571428</v>
      </c>
    </row>
  </sheetData>
  <mergeCells count="16">
    <mergeCell ref="L2:M2"/>
    <mergeCell ref="I3:J3"/>
    <mergeCell ref="L4:M4"/>
    <mergeCell ref="F10:I10"/>
    <mergeCell ref="L10:O10"/>
    <mergeCell ref="L12:L13"/>
    <mergeCell ref="O12:O13"/>
    <mergeCell ref="L14:L15"/>
    <mergeCell ref="O14:O15"/>
    <mergeCell ref="F14:I14"/>
    <mergeCell ref="C2:C5"/>
    <mergeCell ref="A12:A13"/>
    <mergeCell ref="A14:A15"/>
    <mergeCell ref="D12:D13"/>
    <mergeCell ref="D14:D15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2026-09-30T09:23:14Z</dcterms:created>
  <dcterms:modified xsi:type="dcterms:W3CDTF">2026-09-30T11:06:08Z</dcterms:modified>
</cp:coreProperties>
</file>