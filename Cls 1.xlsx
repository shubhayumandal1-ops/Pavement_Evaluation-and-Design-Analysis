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ayu\Desktop\Transport Lab\"/>
    </mc:Choice>
  </mc:AlternateContent>
  <xr:revisionPtr revIDLastSave="0" documentId="13_ncr:1_{88C50EAC-C453-4EF8-99EE-EDF64D59DA5E}" xr6:coauthVersionLast="47" xr6:coauthVersionMax="47" xr10:uidLastSave="{00000000-0000-0000-0000-000000000000}"/>
  <bookViews>
    <workbookView xWindow="-110" yWindow="-110" windowWidth="19420" windowHeight="10300" xr2:uid="{69EBAEE2-3AC7-4D57-B1D3-9064B54DB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5" i="1" l="1"/>
  <c r="N14" i="1"/>
  <c r="N5" i="1"/>
  <c r="N6" i="1"/>
  <c r="N7" i="1"/>
  <c r="N8" i="1"/>
  <c r="N9" i="1"/>
  <c r="N10" i="1"/>
  <c r="N11" i="1"/>
  <c r="N12" i="1"/>
  <c r="N13" i="1"/>
  <c r="N4" i="1"/>
  <c r="M5" i="1"/>
  <c r="M6" i="1"/>
  <c r="M7" i="1"/>
  <c r="M8" i="1"/>
  <c r="M9" i="1"/>
  <c r="M10" i="1"/>
  <c r="M11" i="1"/>
  <c r="M12" i="1"/>
  <c r="M13" i="1"/>
  <c r="M4" i="1"/>
  <c r="L5" i="1"/>
  <c r="L6" i="1"/>
  <c r="L7" i="1"/>
  <c r="L8" i="1"/>
  <c r="L9" i="1"/>
  <c r="L10" i="1"/>
  <c r="L11" i="1"/>
  <c r="L12" i="1"/>
  <c r="L13" i="1"/>
  <c r="L4" i="1"/>
  <c r="F14" i="1"/>
  <c r="F5" i="1"/>
  <c r="F6" i="1"/>
  <c r="F7" i="1"/>
  <c r="F8" i="1"/>
  <c r="F9" i="1"/>
  <c r="F10" i="1"/>
  <c r="F11" i="1"/>
  <c r="F12" i="1"/>
  <c r="F13" i="1"/>
  <c r="F4" i="1"/>
  <c r="E5" i="1"/>
  <c r="E6" i="1"/>
  <c r="E7" i="1"/>
  <c r="E8" i="1"/>
  <c r="E9" i="1"/>
  <c r="E10" i="1"/>
  <c r="E11" i="1"/>
  <c r="E12" i="1"/>
  <c r="E13" i="1"/>
  <c r="E4" i="1"/>
  <c r="D6" i="1"/>
  <c r="D7" i="1"/>
  <c r="D8" i="1"/>
  <c r="D9" i="1"/>
  <c r="D10" i="1"/>
  <c r="D11" i="1"/>
  <c r="D12" i="1"/>
  <c r="D13" i="1"/>
  <c r="D5" i="1"/>
  <c r="D4" i="1"/>
</calcChain>
</file>

<file path=xl/sharedStrings.xml><?xml version="1.0" encoding="utf-8"?>
<sst xmlns="http://schemas.openxmlformats.org/spreadsheetml/2006/main" count="26" uniqueCount="14">
  <si>
    <t>Front</t>
  </si>
  <si>
    <t>Rear</t>
  </si>
  <si>
    <t>Axle Load (kN)</t>
  </si>
  <si>
    <t>Damaging effect</t>
  </si>
  <si>
    <t xml:space="preserve">Front </t>
  </si>
  <si>
    <t>Total</t>
  </si>
  <si>
    <t>Left Side</t>
  </si>
  <si>
    <t>Sl no</t>
  </si>
  <si>
    <t>Right Side</t>
  </si>
  <si>
    <t xml:space="preserve">Single Axle </t>
  </si>
  <si>
    <t>Tridem</t>
  </si>
  <si>
    <t>Tandem</t>
  </si>
  <si>
    <t>No. of Vehicles</t>
  </si>
  <si>
    <t>Axle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</si>
</sst>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722B-188E-46EA-827E-6E7A398A220F}">
  <dimension ref="A1:R14"/>
  <sheetViews>
    <sheetView tabSelected="1" workbookViewId="0">
      <selection activeCell="R6" sqref="R6"/>
    </sheetView>
  </sheetViews>
  <sheetFormatPr defaultRowHeight="14.5" x14ac:dyDescent="0.35"/>
  <cols>
    <col min="2" max="2" width="8.26953125" customWidth="1"/>
    <col min="3" max="3" width="7.54296875" customWidth="1"/>
    <col min="4" max="4" width="6.453125" customWidth="1"/>
    <col min="5" max="5" width="6.81640625" customWidth="1"/>
    <col min="6" max="6" width="6.90625" customWidth="1"/>
    <col min="7" max="7" width="10.36328125" customWidth="1"/>
    <col min="16" max="16" width="11.90625" customWidth="1"/>
    <col min="17" max="17" width="13.08984375" customWidth="1"/>
    <col min="18" max="18" width="13.36328125" customWidth="1"/>
  </cols>
  <sheetData>
    <row r="1" spans="1:18" x14ac:dyDescent="0.35">
      <c r="A1" s="4" t="s">
        <v>6</v>
      </c>
      <c r="B1" s="4"/>
      <c r="C1" s="4"/>
      <c r="D1" s="4"/>
      <c r="E1" s="4"/>
      <c r="F1" s="4"/>
      <c r="I1" s="4" t="s">
        <v>8</v>
      </c>
      <c r="J1" s="4"/>
      <c r="K1" s="4"/>
      <c r="L1" s="4"/>
      <c r="M1" s="4"/>
      <c r="N1" s="4"/>
      <c r="P1" s="1"/>
      <c r="Q1" s="1" t="s">
        <v>13</v>
      </c>
      <c r="R1" s="1" t="s">
        <v>12</v>
      </c>
    </row>
    <row r="2" spans="1:18" ht="18.5" customHeight="1" x14ac:dyDescent="0.35">
      <c r="A2" s="6" t="s">
        <v>7</v>
      </c>
      <c r="B2" s="4" t="s">
        <v>2</v>
      </c>
      <c r="C2" s="4"/>
      <c r="D2" s="4" t="s">
        <v>3</v>
      </c>
      <c r="E2" s="4"/>
      <c r="F2" s="4"/>
      <c r="G2" s="5"/>
      <c r="I2" s="6" t="s">
        <v>7</v>
      </c>
      <c r="J2" s="4" t="s">
        <v>2</v>
      </c>
      <c r="K2" s="4"/>
      <c r="L2" s="4" t="s">
        <v>3</v>
      </c>
      <c r="M2" s="4"/>
      <c r="N2" s="4"/>
      <c r="P2" s="1" t="s">
        <v>9</v>
      </c>
      <c r="Q2" s="2">
        <v>0.97299999999999998</v>
      </c>
      <c r="R2" s="2">
        <v>10</v>
      </c>
    </row>
    <row r="3" spans="1:18" ht="19" customHeight="1" x14ac:dyDescent="0.35">
      <c r="A3" s="6"/>
      <c r="B3" s="1" t="s">
        <v>0</v>
      </c>
      <c r="C3" s="1" t="s">
        <v>1</v>
      </c>
      <c r="D3" s="1" t="s">
        <v>4</v>
      </c>
      <c r="E3" s="1" t="s">
        <v>1</v>
      </c>
      <c r="F3" s="1" t="s">
        <v>5</v>
      </c>
      <c r="I3" s="6"/>
      <c r="J3" s="1" t="s">
        <v>0</v>
      </c>
      <c r="K3" s="1" t="s">
        <v>1</v>
      </c>
      <c r="L3" s="1" t="s">
        <v>4</v>
      </c>
      <c r="M3" s="1" t="s">
        <v>1</v>
      </c>
      <c r="N3" s="1" t="s">
        <v>5</v>
      </c>
      <c r="P3" s="1" t="s">
        <v>11</v>
      </c>
      <c r="Q3" s="2">
        <v>1.25</v>
      </c>
      <c r="R3" s="2">
        <v>20</v>
      </c>
    </row>
    <row r="4" spans="1:18" x14ac:dyDescent="0.35">
      <c r="A4" s="3">
        <v>1</v>
      </c>
      <c r="B4" s="2">
        <v>22.06</v>
      </c>
      <c r="C4" s="2">
        <v>44.13</v>
      </c>
      <c r="D4" s="3">
        <f>(B4/65)^4</f>
        <v>1.3266874040598571E-2</v>
      </c>
      <c r="E4" s="3">
        <f>(C4/80)^4</f>
        <v>9.2592489681582305E-2</v>
      </c>
      <c r="F4" s="3">
        <f>(D4+E4)</f>
        <v>0.10585936372218088</v>
      </c>
      <c r="I4" s="2">
        <v>1</v>
      </c>
      <c r="J4" s="2">
        <v>22.72</v>
      </c>
      <c r="K4" s="2">
        <v>89.5</v>
      </c>
      <c r="L4" s="2">
        <f>(J4/65)^4</f>
        <v>1.4927252584296623E-2</v>
      </c>
      <c r="M4" s="2">
        <f>(K4/80)^4</f>
        <v>1.566506471252441</v>
      </c>
      <c r="N4" s="2">
        <f>(L4+M4)</f>
        <v>1.5814337238367377</v>
      </c>
      <c r="P4" s="1" t="s">
        <v>10</v>
      </c>
      <c r="Q4" s="2">
        <v>1.73</v>
      </c>
      <c r="R4" s="2">
        <v>15</v>
      </c>
    </row>
    <row r="5" spans="1:18" x14ac:dyDescent="0.35">
      <c r="A5" s="3">
        <v>2</v>
      </c>
      <c r="B5" s="2">
        <v>22.88</v>
      </c>
      <c r="C5" s="2">
        <v>45.76</v>
      </c>
      <c r="D5" s="3">
        <f>(B5/65)^4</f>
        <v>1.5352201215999997E-2</v>
      </c>
      <c r="E5" s="3">
        <f t="shared" ref="E5:E13" si="0">(C5/80)^4</f>
        <v>0.10704936985599994</v>
      </c>
      <c r="F5" s="3">
        <f t="shared" ref="F5:F13" si="1">(D5+E5)</f>
        <v>0.12240157107199993</v>
      </c>
      <c r="I5" s="2">
        <v>2</v>
      </c>
      <c r="J5" s="2">
        <v>22.88</v>
      </c>
      <c r="K5" s="2">
        <v>76.8</v>
      </c>
      <c r="L5" s="2">
        <f t="shared" ref="L5:L13" si="2">(J5/65)^4</f>
        <v>1.5352201215999997E-2</v>
      </c>
      <c r="M5" s="2">
        <f t="shared" ref="M5:M13" si="3">(K5/80)^4</f>
        <v>0.84934655999999997</v>
      </c>
      <c r="N5" s="2">
        <f t="shared" ref="N5:N13" si="4">(L5+M5)</f>
        <v>0.86469876121599998</v>
      </c>
      <c r="Q5" t="s">
        <v>5</v>
      </c>
      <c r="R5">
        <f>(((Q2*R2)+(Q3*R3)+(Q4*R4))/(R2+R3+R4))</f>
        <v>1.3484444444444446</v>
      </c>
    </row>
    <row r="6" spans="1:18" x14ac:dyDescent="0.35">
      <c r="A6" s="2">
        <v>3</v>
      </c>
      <c r="B6" s="2">
        <v>23.53</v>
      </c>
      <c r="C6" s="2">
        <v>47.07</v>
      </c>
      <c r="D6" s="3">
        <f t="shared" ref="D6:D13" si="5">(B6/65)^4</f>
        <v>1.7172529936000006E-2</v>
      </c>
      <c r="E6" s="3">
        <f t="shared" si="0"/>
        <v>0.11984415158955103</v>
      </c>
      <c r="F6" s="3">
        <f t="shared" si="1"/>
        <v>0.13701668152555102</v>
      </c>
      <c r="I6" s="2">
        <v>3</v>
      </c>
      <c r="J6" s="2">
        <v>23.21</v>
      </c>
      <c r="K6" s="2">
        <v>87.2</v>
      </c>
      <c r="L6" s="2">
        <f t="shared" si="2"/>
        <v>1.6257251908928117E-2</v>
      </c>
      <c r="M6" s="2">
        <f t="shared" si="3"/>
        <v>1.4115816100000003</v>
      </c>
      <c r="N6" s="2">
        <f t="shared" si="4"/>
        <v>1.4278388619089284</v>
      </c>
    </row>
    <row r="7" spans="1:18" x14ac:dyDescent="0.35">
      <c r="A7" s="3">
        <v>4</v>
      </c>
      <c r="B7" s="2">
        <v>38.409999999999997</v>
      </c>
      <c r="C7" s="2">
        <v>76.81</v>
      </c>
      <c r="D7" s="3">
        <f t="shared" si="5"/>
        <v>0.1219337139539713</v>
      </c>
      <c r="E7" s="3">
        <f t="shared" si="0"/>
        <v>0.84978901440750032</v>
      </c>
      <c r="F7" s="3">
        <f t="shared" si="1"/>
        <v>0.97172272836147167</v>
      </c>
      <c r="I7" s="2">
        <v>4</v>
      </c>
      <c r="J7" s="2">
        <v>23.37</v>
      </c>
      <c r="K7" s="2">
        <v>86.2</v>
      </c>
      <c r="L7" s="2">
        <f t="shared" si="2"/>
        <v>1.6710191347227895E-2</v>
      </c>
      <c r="M7" s="2">
        <f t="shared" si="3"/>
        <v>1.3479355125390631</v>
      </c>
      <c r="N7" s="2">
        <f t="shared" si="4"/>
        <v>1.3646457038862909</v>
      </c>
    </row>
    <row r="8" spans="1:18" x14ac:dyDescent="0.35">
      <c r="A8" s="3">
        <v>5</v>
      </c>
      <c r="B8" s="2">
        <v>38.729999999999997</v>
      </c>
      <c r="C8" s="2">
        <v>77.47</v>
      </c>
      <c r="D8" s="3">
        <f t="shared" si="5"/>
        <v>0.12604817479311842</v>
      </c>
      <c r="E8" s="3">
        <f t="shared" si="0"/>
        <v>0.87937532624220716</v>
      </c>
      <c r="F8" s="3">
        <f t="shared" si="1"/>
        <v>1.0054235010353256</v>
      </c>
      <c r="I8" s="2">
        <v>5</v>
      </c>
      <c r="J8" s="2">
        <v>30.4</v>
      </c>
      <c r="K8" s="2">
        <v>83.5</v>
      </c>
      <c r="L8" s="2">
        <f t="shared" si="2"/>
        <v>4.7845479113476419E-2</v>
      </c>
      <c r="M8" s="2">
        <f t="shared" si="3"/>
        <v>1.1868229995727537</v>
      </c>
      <c r="N8" s="2">
        <f t="shared" si="4"/>
        <v>1.2346684786862301</v>
      </c>
    </row>
    <row r="9" spans="1:18" x14ac:dyDescent="0.35">
      <c r="A9" s="3">
        <v>6</v>
      </c>
      <c r="B9" s="2">
        <v>40.200000000000003</v>
      </c>
      <c r="C9" s="2">
        <v>80.41</v>
      </c>
      <c r="D9" s="3">
        <f t="shared" si="5"/>
        <v>0.14630217606386334</v>
      </c>
      <c r="E9" s="3">
        <f t="shared" si="0"/>
        <v>1.0206581328851958</v>
      </c>
      <c r="F9" s="3">
        <f t="shared" si="1"/>
        <v>1.1669603089490592</v>
      </c>
      <c r="I9" s="2">
        <v>6</v>
      </c>
      <c r="J9" s="2">
        <v>41.24</v>
      </c>
      <c r="K9" s="2">
        <v>80.41</v>
      </c>
      <c r="L9" s="2">
        <f t="shared" si="2"/>
        <v>0.16203961396610825</v>
      </c>
      <c r="M9" s="2">
        <f t="shared" si="3"/>
        <v>1.0206581328851958</v>
      </c>
      <c r="N9" s="2">
        <f t="shared" si="4"/>
        <v>1.182697746851304</v>
      </c>
    </row>
    <row r="10" spans="1:18" x14ac:dyDescent="0.35">
      <c r="A10" s="3">
        <v>7</v>
      </c>
      <c r="B10" s="2">
        <v>40.369999999999997</v>
      </c>
      <c r="C10" s="2">
        <v>80.739999999999995</v>
      </c>
      <c r="D10" s="3">
        <f t="shared" si="5"/>
        <v>0.14879268166921944</v>
      </c>
      <c r="E10" s="3">
        <f t="shared" si="0"/>
        <v>1.0375165481334414</v>
      </c>
      <c r="F10" s="3">
        <f t="shared" si="1"/>
        <v>1.186309229802661</v>
      </c>
      <c r="I10" s="2">
        <v>7</v>
      </c>
      <c r="J10" s="2">
        <v>41.37</v>
      </c>
      <c r="K10" s="2">
        <v>80.739999999999995</v>
      </c>
      <c r="L10" s="2">
        <f t="shared" si="2"/>
        <v>0.16409247178928518</v>
      </c>
      <c r="M10" s="2">
        <f t="shared" si="3"/>
        <v>1.0375165481334414</v>
      </c>
      <c r="N10" s="2">
        <f t="shared" si="4"/>
        <v>1.2016090199227265</v>
      </c>
    </row>
    <row r="11" spans="1:18" x14ac:dyDescent="0.35">
      <c r="A11" s="3">
        <v>8</v>
      </c>
      <c r="B11" s="2">
        <v>43.47</v>
      </c>
      <c r="C11" s="2">
        <v>86.95</v>
      </c>
      <c r="D11" s="3">
        <f t="shared" si="5"/>
        <v>0.2000346055643884</v>
      </c>
      <c r="E11" s="3">
        <f t="shared" si="0"/>
        <v>1.395463229773102</v>
      </c>
      <c r="F11" s="3">
        <f t="shared" si="1"/>
        <v>1.5954978353374905</v>
      </c>
      <c r="I11" s="2">
        <v>8</v>
      </c>
      <c r="J11" s="2">
        <v>43.47</v>
      </c>
      <c r="K11" s="2">
        <v>86.95</v>
      </c>
      <c r="L11" s="2">
        <f t="shared" si="2"/>
        <v>0.2000346055643884</v>
      </c>
      <c r="M11" s="2">
        <f t="shared" si="3"/>
        <v>1.395463229773102</v>
      </c>
      <c r="N11" s="2">
        <f t="shared" si="4"/>
        <v>1.5954978353374905</v>
      </c>
    </row>
    <row r="12" spans="1:18" x14ac:dyDescent="0.35">
      <c r="A12" s="3">
        <v>9</v>
      </c>
      <c r="B12" s="2">
        <v>44.13</v>
      </c>
      <c r="C12" s="2">
        <v>88.25</v>
      </c>
      <c r="D12" s="3">
        <f t="shared" si="5"/>
        <v>0.2124624979437757</v>
      </c>
      <c r="E12" s="3">
        <f t="shared" si="0"/>
        <v>1.4808085328102105</v>
      </c>
      <c r="F12" s="3">
        <f t="shared" si="1"/>
        <v>1.6932710307539862</v>
      </c>
      <c r="I12" s="2">
        <v>9</v>
      </c>
      <c r="J12" s="2">
        <v>44.13</v>
      </c>
      <c r="K12" s="2">
        <v>88.25</v>
      </c>
      <c r="L12" s="2">
        <f t="shared" si="2"/>
        <v>0.2124624979437757</v>
      </c>
      <c r="M12" s="2">
        <f t="shared" si="3"/>
        <v>1.4808085328102105</v>
      </c>
      <c r="N12" s="2">
        <f t="shared" si="4"/>
        <v>1.6932710307539862</v>
      </c>
    </row>
    <row r="13" spans="1:18" x14ac:dyDescent="0.35">
      <c r="A13" s="3">
        <v>10</v>
      </c>
      <c r="B13" s="2">
        <v>44.45</v>
      </c>
      <c r="C13" s="2">
        <v>88.91</v>
      </c>
      <c r="D13" s="3">
        <f t="shared" si="5"/>
        <v>0.21869237178004974</v>
      </c>
      <c r="E13" s="3">
        <f t="shared" si="0"/>
        <v>1.525606368680215</v>
      </c>
      <c r="F13" s="3">
        <f t="shared" si="1"/>
        <v>1.7442987404602648</v>
      </c>
      <c r="I13" s="2">
        <v>10</v>
      </c>
      <c r="J13" s="2">
        <v>44.45</v>
      </c>
      <c r="K13" s="2">
        <v>88.91</v>
      </c>
      <c r="L13" s="2">
        <f t="shared" si="2"/>
        <v>0.21869237178004974</v>
      </c>
      <c r="M13" s="2">
        <f t="shared" si="3"/>
        <v>1.525606368680215</v>
      </c>
      <c r="N13" s="2">
        <f t="shared" si="4"/>
        <v>1.7442987404602648</v>
      </c>
    </row>
    <row r="14" spans="1:18" x14ac:dyDescent="0.35">
      <c r="A14" s="3"/>
      <c r="B14" s="3"/>
      <c r="C14" s="3"/>
      <c r="D14" s="3"/>
      <c r="E14" s="1" t="s">
        <v>5</v>
      </c>
      <c r="F14" s="7">
        <f>(F4+F5+F6+F7+F8+F9+F10+F11+F12+F13)</f>
        <v>9.7287609910199908</v>
      </c>
      <c r="I14" s="2"/>
      <c r="J14" s="2"/>
      <c r="K14" s="2"/>
      <c r="L14" s="2"/>
      <c r="M14" s="1" t="s">
        <v>5</v>
      </c>
      <c r="N14" s="8">
        <f>(N4+N5+N6+N7+N8+N9+N10+N11+N12+N13)</f>
        <v>13.890659902859957</v>
      </c>
    </row>
  </sheetData>
  <mergeCells count="8">
    <mergeCell ref="I1:N1"/>
    <mergeCell ref="I2:I3"/>
    <mergeCell ref="J2:K2"/>
    <mergeCell ref="L2:N2"/>
    <mergeCell ref="B2:C2"/>
    <mergeCell ref="A1:F1"/>
    <mergeCell ref="D2:F2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124CE0002 (SHUBHAYU MANDAL)</dc:creator>
  <cp:lastModifiedBy>124CE0002 (SHUBHAYU MANDAL)</cp:lastModifiedBy>
  <dcterms:created xsi:type="dcterms:W3CDTF">2026-08-05T09:35:43Z</dcterms:created>
  <dcterms:modified xsi:type="dcterms:W3CDTF">2026-08-05T10:32:59Z</dcterms:modified>
</cp:coreProperties>
</file>