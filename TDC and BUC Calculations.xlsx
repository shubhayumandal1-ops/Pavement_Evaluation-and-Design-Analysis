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yu\Desktop\5th Sem\Transport Lab\"/>
    </mc:Choice>
  </mc:AlternateContent>
  <xr:revisionPtr revIDLastSave="0" documentId="13_ncr:1_{359710B5-5703-4E4A-A7D0-DAAF55590AD3}" xr6:coauthVersionLast="47" xr6:coauthVersionMax="47" xr10:uidLastSave="{00000000-0000-0000-0000-000000000000}"/>
  <bookViews>
    <workbookView xWindow="-110" yWindow="-110" windowWidth="19420" windowHeight="10300" activeTab="1" xr2:uid="{9C27EE66-2B53-4293-9978-A50A2589EE71}"/>
  </bookViews>
  <sheets>
    <sheet name="design axle for damage" sheetId="1" r:id="rId1"/>
    <sheet name="fatigue dam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2" l="1"/>
  <c r="F6" i="2"/>
  <c r="F7" i="2"/>
  <c r="D89" i="2" l="1"/>
  <c r="D90" i="2"/>
  <c r="S78" i="2"/>
  <c r="S77" i="2"/>
  <c r="S70" i="2"/>
  <c r="S69" i="2"/>
  <c r="S59" i="2"/>
  <c r="S58" i="2"/>
  <c r="Q12" i="2"/>
  <c r="Q10" i="2"/>
  <c r="V7" i="2"/>
  <c r="U7" i="2"/>
  <c r="V6" i="2"/>
  <c r="U6" i="2"/>
  <c r="V5" i="2"/>
  <c r="U5" i="2"/>
  <c r="V4" i="2"/>
  <c r="U4" i="2"/>
  <c r="B12" i="2"/>
  <c r="E68" i="2" s="1"/>
  <c r="D75" i="2"/>
  <c r="D76" i="2"/>
  <c r="D55" i="2"/>
  <c r="D56" i="2"/>
  <c r="D57" i="2"/>
  <c r="D59" i="2"/>
  <c r="D61" i="2"/>
  <c r="D63" i="2"/>
  <c r="D64" i="2"/>
  <c r="D53" i="2"/>
  <c r="G5" i="2"/>
  <c r="S57" i="2" s="1"/>
  <c r="G6" i="2"/>
  <c r="S76" i="2" s="1"/>
  <c r="G7" i="2"/>
  <c r="D91" i="2" s="1"/>
  <c r="G4" i="2"/>
  <c r="D74" i="2" l="1"/>
  <c r="S60" i="2"/>
  <c r="S71" i="2"/>
  <c r="S79" i="2"/>
  <c r="D88" i="2"/>
  <c r="D62" i="2"/>
  <c r="D54" i="2"/>
  <c r="D73" i="2"/>
  <c r="S53" i="2"/>
  <c r="S61" i="2"/>
  <c r="S72" i="2"/>
  <c r="D83" i="2"/>
  <c r="D87" i="2"/>
  <c r="D72" i="2"/>
  <c r="S54" i="2"/>
  <c r="Q65" i="2" s="1"/>
  <c r="S62" i="2"/>
  <c r="S73" i="2"/>
  <c r="D94" i="2"/>
  <c r="D86" i="2"/>
  <c r="D68" i="2"/>
  <c r="D60" i="2"/>
  <c r="D79" i="2"/>
  <c r="D71" i="2"/>
  <c r="S55" i="2"/>
  <c r="S63" i="2"/>
  <c r="S74" i="2"/>
  <c r="D93" i="2"/>
  <c r="D85" i="2"/>
  <c r="D70" i="2"/>
  <c r="S56" i="2"/>
  <c r="S64" i="2"/>
  <c r="S75" i="2"/>
  <c r="D92" i="2"/>
  <c r="D84" i="2"/>
  <c r="D78" i="2"/>
  <c r="D58" i="2"/>
  <c r="D77" i="2"/>
  <c r="D69" i="2"/>
  <c r="S68" i="2"/>
  <c r="Q80" i="2" s="1"/>
  <c r="E92" i="2"/>
  <c r="F92" i="2" s="1"/>
  <c r="G92" i="2" s="1"/>
  <c r="H92" i="2" s="1"/>
  <c r="E84" i="2"/>
  <c r="F84" i="2" s="1"/>
  <c r="G84" i="2" s="1"/>
  <c r="E86" i="2"/>
  <c r="F86" i="2" s="1"/>
  <c r="G86" i="2" s="1"/>
  <c r="E89" i="2"/>
  <c r="F89" i="2" s="1"/>
  <c r="G89" i="2" s="1"/>
  <c r="H89" i="2" s="1"/>
  <c r="E94" i="2"/>
  <c r="F94" i="2" s="1"/>
  <c r="G94" i="2" s="1"/>
  <c r="H94" i="2" s="1"/>
  <c r="E90" i="2"/>
  <c r="F90" i="2" s="1"/>
  <c r="G90" i="2" s="1"/>
  <c r="H90" i="2" s="1"/>
  <c r="E83" i="2"/>
  <c r="F83" i="2" s="1"/>
  <c r="G83" i="2" s="1"/>
  <c r="H83" i="2" s="1"/>
  <c r="E91" i="2"/>
  <c r="F91" i="2" s="1"/>
  <c r="G91" i="2" s="1"/>
  <c r="H91" i="2" s="1"/>
  <c r="E85" i="2"/>
  <c r="F85" i="2" s="1"/>
  <c r="G85" i="2" s="1"/>
  <c r="E93" i="2"/>
  <c r="F93" i="2" s="1"/>
  <c r="G93" i="2" s="1"/>
  <c r="H93" i="2" s="1"/>
  <c r="E87" i="2"/>
  <c r="F87" i="2" s="1"/>
  <c r="G87" i="2" s="1"/>
  <c r="E88" i="2"/>
  <c r="F88" i="2" s="1"/>
  <c r="G88" i="2" s="1"/>
  <c r="H88" i="2" s="1"/>
  <c r="H86" i="2"/>
  <c r="B95" i="2"/>
  <c r="T39" i="2"/>
  <c r="U39" i="2" s="1"/>
  <c r="V39" i="2" s="1"/>
  <c r="W39" i="2" s="1"/>
  <c r="T35" i="2"/>
  <c r="U35" i="2" s="1"/>
  <c r="V35" i="2" s="1"/>
  <c r="W35" i="2" s="1"/>
  <c r="T42" i="2"/>
  <c r="U42" i="2" s="1"/>
  <c r="V42" i="2" s="1"/>
  <c r="W42" i="2" s="1"/>
  <c r="T56" i="2"/>
  <c r="U56" i="2" s="1"/>
  <c r="V56" i="2" s="1"/>
  <c r="W56" i="2" s="1"/>
  <c r="T21" i="2"/>
  <c r="U21" i="2" s="1"/>
  <c r="V21" i="2" s="1"/>
  <c r="W21" i="2" s="1"/>
  <c r="T63" i="2"/>
  <c r="U63" i="2" s="1"/>
  <c r="V63" i="2" s="1"/>
  <c r="W63" i="2" s="1"/>
  <c r="T76" i="2"/>
  <c r="U76" i="2" s="1"/>
  <c r="V76" i="2" s="1"/>
  <c r="W76" i="2" s="1"/>
  <c r="T25" i="2"/>
  <c r="U25" i="2" s="1"/>
  <c r="V25" i="2" s="1"/>
  <c r="W25" i="2" s="1"/>
  <c r="T43" i="2"/>
  <c r="U43" i="2" s="1"/>
  <c r="V43" i="2" s="1"/>
  <c r="W43" i="2" s="1"/>
  <c r="T70" i="2"/>
  <c r="U70" i="2" s="1"/>
  <c r="V70" i="2" s="1"/>
  <c r="W70" i="2" s="1"/>
  <c r="T26" i="2"/>
  <c r="U26" i="2" s="1"/>
  <c r="V26" i="2" s="1"/>
  <c r="W26" i="2" s="1"/>
  <c r="T22" i="2"/>
  <c r="U22" i="2" s="1"/>
  <c r="V22" i="2" s="1"/>
  <c r="W22" i="2" s="1"/>
  <c r="T30" i="2"/>
  <c r="U30" i="2" s="1"/>
  <c r="V30" i="2" s="1"/>
  <c r="W30" i="2" s="1"/>
  <c r="T40" i="2"/>
  <c r="U40" i="2" s="1"/>
  <c r="V40" i="2" s="1"/>
  <c r="W40" i="2" s="1"/>
  <c r="T54" i="2"/>
  <c r="U54" i="2" s="1"/>
  <c r="V54" i="2" s="1"/>
  <c r="W54" i="2" s="1"/>
  <c r="T61" i="2"/>
  <c r="U61" i="2" s="1"/>
  <c r="V61" i="2" s="1"/>
  <c r="W61" i="2" s="1"/>
  <c r="T64" i="2"/>
  <c r="U64" i="2" s="1"/>
  <c r="V64" i="2" s="1"/>
  <c r="W64" i="2" s="1"/>
  <c r="T77" i="2"/>
  <c r="U77" i="2" s="1"/>
  <c r="V77" i="2" s="1"/>
  <c r="W77" i="2" s="1"/>
  <c r="T73" i="2"/>
  <c r="U73" i="2" s="1"/>
  <c r="V73" i="2" s="1"/>
  <c r="W73" i="2" s="1"/>
  <c r="T24" i="2"/>
  <c r="U24" i="2" s="1"/>
  <c r="V24" i="2" s="1"/>
  <c r="W24" i="2" s="1"/>
  <c r="T36" i="2"/>
  <c r="U36" i="2" s="1"/>
  <c r="V36" i="2" s="1"/>
  <c r="W36" i="2" s="1"/>
  <c r="T57" i="2"/>
  <c r="U57" i="2" s="1"/>
  <c r="V57" i="2" s="1"/>
  <c r="W57" i="2" s="1"/>
  <c r="T37" i="2"/>
  <c r="U37" i="2" s="1"/>
  <c r="V37" i="2" s="1"/>
  <c r="W37" i="2" s="1"/>
  <c r="T44" i="2"/>
  <c r="U44" i="2" s="1"/>
  <c r="V44" i="2" s="1"/>
  <c r="W44" i="2" s="1"/>
  <c r="T58" i="2"/>
  <c r="U58" i="2" s="1"/>
  <c r="V58" i="2" s="1"/>
  <c r="W58" i="2" s="1"/>
  <c r="T27" i="2"/>
  <c r="U27" i="2" s="1"/>
  <c r="V27" i="2" s="1"/>
  <c r="W27" i="2" s="1"/>
  <c r="T71" i="2"/>
  <c r="U71" i="2" s="1"/>
  <c r="V71" i="2" s="1"/>
  <c r="W71" i="2" s="1"/>
  <c r="T78" i="2"/>
  <c r="U78" i="2" s="1"/>
  <c r="V78" i="2" s="1"/>
  <c r="W78" i="2" s="1"/>
  <c r="T19" i="2"/>
  <c r="U19" i="2" s="1"/>
  <c r="V19" i="2" s="1"/>
  <c r="W19" i="2" s="1"/>
  <c r="T68" i="2"/>
  <c r="U68" i="2" s="1"/>
  <c r="V68" i="2" s="1"/>
  <c r="W68" i="2" s="1"/>
  <c r="T74" i="2"/>
  <c r="U74" i="2" s="1"/>
  <c r="V74" i="2" s="1"/>
  <c r="W74" i="2" s="1"/>
  <c r="T23" i="2"/>
  <c r="U23" i="2" s="1"/>
  <c r="V23" i="2" s="1"/>
  <c r="W23" i="2" s="1"/>
  <c r="T34" i="2"/>
  <c r="U34" i="2" s="1"/>
  <c r="V34" i="2" s="1"/>
  <c r="W34" i="2" s="1"/>
  <c r="T38" i="2"/>
  <c r="U38" i="2" s="1"/>
  <c r="V38" i="2" s="1"/>
  <c r="W38" i="2" s="1"/>
  <c r="T41" i="2"/>
  <c r="U41" i="2" s="1"/>
  <c r="V41" i="2" s="1"/>
  <c r="W41" i="2" s="1"/>
  <c r="T45" i="2"/>
  <c r="U45" i="2" s="1"/>
  <c r="V45" i="2" s="1"/>
  <c r="W45" i="2" s="1"/>
  <c r="T55" i="2"/>
  <c r="U55" i="2" s="1"/>
  <c r="V55" i="2" s="1"/>
  <c r="W55" i="2" s="1"/>
  <c r="T59" i="2"/>
  <c r="U59" i="2" s="1"/>
  <c r="V59" i="2" s="1"/>
  <c r="W59" i="2" s="1"/>
  <c r="T62" i="2"/>
  <c r="U62" i="2" s="1"/>
  <c r="V62" i="2" s="1"/>
  <c r="W62" i="2" s="1"/>
  <c r="T20" i="2"/>
  <c r="U20" i="2" s="1"/>
  <c r="V20" i="2" s="1"/>
  <c r="W20" i="2" s="1"/>
  <c r="T28" i="2"/>
  <c r="U28" i="2" s="1"/>
  <c r="V28" i="2" s="1"/>
  <c r="W28" i="2" s="1"/>
  <c r="T69" i="2"/>
  <c r="U69" i="2" s="1"/>
  <c r="V69" i="2" s="1"/>
  <c r="W69" i="2" s="1"/>
  <c r="T72" i="2"/>
  <c r="U72" i="2" s="1"/>
  <c r="V72" i="2" s="1"/>
  <c r="W72" i="2" s="1"/>
  <c r="T75" i="2"/>
  <c r="U75" i="2" s="1"/>
  <c r="V75" i="2" s="1"/>
  <c r="W75" i="2" s="1"/>
  <c r="T53" i="2"/>
  <c r="U53" i="2" s="1"/>
  <c r="V53" i="2" s="1"/>
  <c r="W53" i="2" s="1"/>
  <c r="T60" i="2"/>
  <c r="U60" i="2" s="1"/>
  <c r="V60" i="2" s="1"/>
  <c r="W60" i="2" s="1"/>
  <c r="T29" i="2"/>
  <c r="U29" i="2" s="1"/>
  <c r="V29" i="2" s="1"/>
  <c r="W29" i="2" s="1"/>
  <c r="T79" i="2"/>
  <c r="U79" i="2" s="1"/>
  <c r="V79" i="2" s="1"/>
  <c r="W79" i="2" s="1"/>
  <c r="H84" i="2" l="1"/>
  <c r="H87" i="2"/>
  <c r="H85" i="2"/>
  <c r="H95" i="2"/>
  <c r="W65" i="2"/>
  <c r="W31" i="2"/>
  <c r="Q48" i="2" s="1"/>
  <c r="W80" i="2"/>
  <c r="F4" i="2"/>
  <c r="B10" i="2"/>
  <c r="C32" i="1"/>
  <c r="C33" i="1"/>
  <c r="C35" i="1"/>
  <c r="C36" i="1"/>
  <c r="C38" i="1"/>
  <c r="C42" i="1"/>
  <c r="C43" i="1"/>
  <c r="C44" i="1"/>
  <c r="C45" i="1"/>
  <c r="C47" i="1"/>
  <c r="C49" i="1"/>
  <c r="C4" i="1"/>
  <c r="C5" i="1" s="1"/>
  <c r="C7" i="1" s="1"/>
  <c r="C8" i="1" s="1"/>
  <c r="C10" i="1" s="1"/>
  <c r="S42" i="2" l="1"/>
  <c r="S41" i="2"/>
  <c r="S40" i="2"/>
  <c r="S39" i="2"/>
  <c r="S38" i="2"/>
  <c r="S45" i="2"/>
  <c r="S37" i="2"/>
  <c r="S36" i="2"/>
  <c r="S44" i="2"/>
  <c r="S43" i="2"/>
  <c r="S35" i="2"/>
  <c r="S34" i="2"/>
  <c r="S29" i="2"/>
  <c r="S21" i="2"/>
  <c r="S28" i="2"/>
  <c r="S20" i="2"/>
  <c r="S27" i="2"/>
  <c r="S19" i="2"/>
  <c r="S26" i="2"/>
  <c r="S25" i="2"/>
  <c r="S30" i="2"/>
  <c r="S22" i="2"/>
  <c r="S24" i="2"/>
  <c r="S23" i="2"/>
  <c r="E27" i="2"/>
  <c r="F27" i="2" s="1"/>
  <c r="G27" i="2" s="1"/>
  <c r="H27" i="2" s="1"/>
  <c r="E20" i="2"/>
  <c r="F20" i="2" s="1"/>
  <c r="G20" i="2" s="1"/>
  <c r="E28" i="2"/>
  <c r="F28" i="2" s="1"/>
  <c r="G28" i="2" s="1"/>
  <c r="H28" i="2" s="1"/>
  <c r="E21" i="2"/>
  <c r="F21" i="2" s="1"/>
  <c r="G21" i="2" s="1"/>
  <c r="E29" i="2"/>
  <c r="F29" i="2" s="1"/>
  <c r="G29" i="2" s="1"/>
  <c r="H29" i="2" s="1"/>
  <c r="E30" i="2"/>
  <c r="F30" i="2" s="1"/>
  <c r="G30" i="2" s="1"/>
  <c r="H30" i="2" s="1"/>
  <c r="E22" i="2"/>
  <c r="F22" i="2" s="1"/>
  <c r="G22" i="2" s="1"/>
  <c r="H22" i="2" s="1"/>
  <c r="E23" i="2"/>
  <c r="F23" i="2" s="1"/>
  <c r="G23" i="2" s="1"/>
  <c r="H23" i="2" s="1"/>
  <c r="E19" i="2"/>
  <c r="F19" i="2" s="1"/>
  <c r="G19" i="2" s="1"/>
  <c r="E25" i="2"/>
  <c r="F25" i="2" s="1"/>
  <c r="G25" i="2" s="1"/>
  <c r="H25" i="2" s="1"/>
  <c r="E26" i="2"/>
  <c r="F26" i="2" s="1"/>
  <c r="G26" i="2" s="1"/>
  <c r="H26" i="2" s="1"/>
  <c r="E73" i="2"/>
  <c r="F73" i="2" s="1"/>
  <c r="G73" i="2" s="1"/>
  <c r="H73" i="2" s="1"/>
  <c r="E24" i="2"/>
  <c r="F24" i="2" s="1"/>
  <c r="G24" i="2" s="1"/>
  <c r="H24" i="2" s="1"/>
  <c r="D39" i="2"/>
  <c r="E79" i="2"/>
  <c r="F79" i="2" s="1"/>
  <c r="G79" i="2" s="1"/>
  <c r="E61" i="2"/>
  <c r="F68" i="2"/>
  <c r="G68" i="2" s="1"/>
  <c r="E72" i="2"/>
  <c r="F72" i="2" s="1"/>
  <c r="G72" i="2" s="1"/>
  <c r="E71" i="2"/>
  <c r="F71" i="2" s="1"/>
  <c r="G71" i="2" s="1"/>
  <c r="H71" i="2" s="1"/>
  <c r="E58" i="2"/>
  <c r="F58" i="2" s="1"/>
  <c r="G58" i="2" s="1"/>
  <c r="H58" i="2" s="1"/>
  <c r="E77" i="2"/>
  <c r="F77" i="2" s="1"/>
  <c r="G77" i="2" s="1"/>
  <c r="E69" i="2"/>
  <c r="F69" i="2" s="1"/>
  <c r="G69" i="2" s="1"/>
  <c r="E53" i="2"/>
  <c r="F53" i="2" s="1"/>
  <c r="G53" i="2" s="1"/>
  <c r="E57" i="2"/>
  <c r="F57" i="2" s="1"/>
  <c r="G57" i="2" s="1"/>
  <c r="H57" i="2" s="1"/>
  <c r="E76" i="2"/>
  <c r="F76" i="2" s="1"/>
  <c r="G76" i="2" s="1"/>
  <c r="H76" i="2" s="1"/>
  <c r="E70" i="2"/>
  <c r="F70" i="2" s="1"/>
  <c r="G70" i="2" s="1"/>
  <c r="H70" i="2" s="1"/>
  <c r="E64" i="2"/>
  <c r="F64" i="2" s="1"/>
  <c r="G64" i="2" s="1"/>
  <c r="H64" i="2" s="1"/>
  <c r="E56" i="2"/>
  <c r="F56" i="2" s="1"/>
  <c r="G56" i="2" s="1"/>
  <c r="E75" i="2"/>
  <c r="F75" i="2" s="1"/>
  <c r="G75" i="2" s="1"/>
  <c r="H75" i="2" s="1"/>
  <c r="E60" i="2"/>
  <c r="F60" i="2" s="1"/>
  <c r="G60" i="2" s="1"/>
  <c r="H60" i="2" s="1"/>
  <c r="E59" i="2"/>
  <c r="F59" i="2" s="1"/>
  <c r="G59" i="2" s="1"/>
  <c r="H59" i="2" s="1"/>
  <c r="E63" i="2"/>
  <c r="F63" i="2" s="1"/>
  <c r="G63" i="2" s="1"/>
  <c r="H63" i="2" s="1"/>
  <c r="E55" i="2"/>
  <c r="F55" i="2" s="1"/>
  <c r="G55" i="2" s="1"/>
  <c r="E74" i="2"/>
  <c r="F74" i="2" s="1"/>
  <c r="G74" i="2" s="1"/>
  <c r="H74" i="2" s="1"/>
  <c r="E78" i="2"/>
  <c r="F78" i="2" s="1"/>
  <c r="G78" i="2" s="1"/>
  <c r="E62" i="2"/>
  <c r="F62" i="2" s="1"/>
  <c r="G62" i="2" s="1"/>
  <c r="H62" i="2" s="1"/>
  <c r="E54" i="2"/>
  <c r="F54" i="2" s="1"/>
  <c r="G54" i="2" s="1"/>
  <c r="H54" i="2" s="1"/>
  <c r="D41" i="2"/>
  <c r="D42" i="2"/>
  <c r="D40" i="2"/>
  <c r="D38" i="2"/>
  <c r="D45" i="2"/>
  <c r="D37" i="2"/>
  <c r="D34" i="2"/>
  <c r="D44" i="2"/>
  <c r="D36" i="2"/>
  <c r="D43" i="2"/>
  <c r="D35" i="2"/>
  <c r="D20" i="2"/>
  <c r="D21" i="2"/>
  <c r="D22" i="2"/>
  <c r="D23" i="2"/>
  <c r="D24" i="2"/>
  <c r="D25" i="2"/>
  <c r="D26" i="2"/>
  <c r="D27" i="2"/>
  <c r="D28" i="2"/>
  <c r="D29" i="2"/>
  <c r="D30" i="2"/>
  <c r="D19" i="2"/>
  <c r="E45" i="2"/>
  <c r="F45" i="2" s="1"/>
  <c r="G45" i="2" s="1"/>
  <c r="H45" i="2" s="1"/>
  <c r="E36" i="2"/>
  <c r="F36" i="2" s="1"/>
  <c r="G36" i="2" s="1"/>
  <c r="H36" i="2" s="1"/>
  <c r="E37" i="2"/>
  <c r="F37" i="2" s="1"/>
  <c r="G37" i="2" s="1"/>
  <c r="H37" i="2" s="1"/>
  <c r="E39" i="2"/>
  <c r="F39" i="2" s="1"/>
  <c r="G39" i="2" s="1"/>
  <c r="H39" i="2" s="1"/>
  <c r="E42" i="2"/>
  <c r="F42" i="2" s="1"/>
  <c r="G42" i="2" s="1"/>
  <c r="H42" i="2" s="1"/>
  <c r="E44" i="2"/>
  <c r="F44" i="2" s="1"/>
  <c r="G44" i="2" s="1"/>
  <c r="H44" i="2" s="1"/>
  <c r="E34" i="2"/>
  <c r="F34" i="2" s="1"/>
  <c r="G34" i="2" s="1"/>
  <c r="H34" i="2" s="1"/>
  <c r="E35" i="2"/>
  <c r="F35" i="2" s="1"/>
  <c r="G35" i="2" s="1"/>
  <c r="H35" i="2" s="1"/>
  <c r="E38" i="2"/>
  <c r="F38" i="2" s="1"/>
  <c r="G38" i="2" s="1"/>
  <c r="H38" i="2" s="1"/>
  <c r="E40" i="2"/>
  <c r="F40" i="2" s="1"/>
  <c r="G40" i="2" s="1"/>
  <c r="H40" i="2" s="1"/>
  <c r="E41" i="2"/>
  <c r="F41" i="2" s="1"/>
  <c r="G41" i="2" s="1"/>
  <c r="H41" i="2" s="1"/>
  <c r="E43" i="2"/>
  <c r="F43" i="2" s="1"/>
  <c r="G43" i="2" s="1"/>
  <c r="H43" i="2" s="1"/>
  <c r="C14" i="1"/>
  <c r="C17" i="1" s="1"/>
  <c r="C21" i="1" s="1"/>
  <c r="C15" i="1"/>
  <c r="C16" i="1" s="1"/>
  <c r="C19" i="1" s="1"/>
  <c r="Q46" i="2" l="1"/>
  <c r="Q31" i="2"/>
  <c r="H68" i="2"/>
  <c r="H79" i="2"/>
  <c r="H78" i="2"/>
  <c r="H56" i="2"/>
  <c r="H19" i="2"/>
  <c r="H72" i="2"/>
  <c r="H55" i="2"/>
  <c r="B46" i="2"/>
  <c r="H77" i="2"/>
  <c r="H69" i="2"/>
  <c r="B31" i="2"/>
  <c r="B65" i="2"/>
  <c r="H53" i="2"/>
  <c r="B80" i="2"/>
  <c r="H21" i="2"/>
  <c r="H20" i="2"/>
  <c r="E24" i="1"/>
  <c r="E27" i="1"/>
  <c r="E25" i="1"/>
  <c r="E26" i="1"/>
  <c r="D25" i="1"/>
  <c r="D26" i="1"/>
  <c r="D27" i="1"/>
  <c r="D24" i="1"/>
  <c r="H31" i="2" l="1"/>
  <c r="B48" i="2" s="1"/>
  <c r="F61" i="2" s="1"/>
  <c r="G61" i="2" s="1"/>
  <c r="H61" i="2" s="1"/>
  <c r="H65" i="2" s="1"/>
  <c r="H80" i="2"/>
  <c r="B97" i="2" s="1"/>
</calcChain>
</file>

<file path=xl/sharedStrings.xml><?xml version="1.0" encoding="utf-8"?>
<sst xmlns="http://schemas.openxmlformats.org/spreadsheetml/2006/main" count="352" uniqueCount="110">
  <si>
    <t>Step - 1</t>
  </si>
  <si>
    <t>Design Traffic</t>
  </si>
  <si>
    <t>Total Two - way axle</t>
  </si>
  <si>
    <t>Number of Axle in predominant direction</t>
  </si>
  <si>
    <t>Adjusting for lateral placement of axle</t>
  </si>
  <si>
    <t xml:space="preserve">Step 2 </t>
  </si>
  <si>
    <t>Night time(12 Hours) Design Axle</t>
  </si>
  <si>
    <t>Day time (12 huors) design Axle</t>
  </si>
  <si>
    <t>Day time (6 hours)</t>
  </si>
  <si>
    <t xml:space="preserve">Night time(6 Hours) </t>
  </si>
  <si>
    <t xml:space="preserve">Step 3 </t>
  </si>
  <si>
    <t>Day, For BUC , Design axle</t>
  </si>
  <si>
    <t>Night , Design Axle at night time</t>
  </si>
  <si>
    <t xml:space="preserve">Design life </t>
  </si>
  <si>
    <t xml:space="preserve">years </t>
  </si>
  <si>
    <t>CVPD</t>
  </si>
  <si>
    <t>sa</t>
  </si>
  <si>
    <t xml:space="preserve">Rate </t>
  </si>
  <si>
    <t>One way traffic</t>
  </si>
  <si>
    <t>Axle</t>
  </si>
  <si>
    <t>Average number of axles for each commercial vehicles</t>
  </si>
  <si>
    <t>Front Single Steering Axle</t>
  </si>
  <si>
    <t>Rear Single axle</t>
  </si>
  <si>
    <t>Rear Tridem Axle</t>
  </si>
  <si>
    <t>Rear Tandem Axle</t>
  </si>
  <si>
    <t>Proportion</t>
  </si>
  <si>
    <t>Total Two - way traffic</t>
  </si>
  <si>
    <t>CV</t>
  </si>
  <si>
    <t>Percentage traffic at night</t>
  </si>
  <si>
    <t>Percentage traffic at day time</t>
  </si>
  <si>
    <t>Percentage of commercial vehicles spacing between front axle and rear axle less than 4.5</t>
  </si>
  <si>
    <t xml:space="preserve">The adjustment for lateral placement of axle </t>
  </si>
  <si>
    <t>No of axle for Buc</t>
  </si>
  <si>
    <t>No of axle for TDC</t>
  </si>
  <si>
    <t xml:space="preserve">single axle </t>
  </si>
  <si>
    <t>185-195</t>
  </si>
  <si>
    <t>175-185</t>
  </si>
  <si>
    <t>165-175</t>
  </si>
  <si>
    <t>155-165</t>
  </si>
  <si>
    <t>145-155</t>
  </si>
  <si>
    <t>135-145</t>
  </si>
  <si>
    <t>125-135</t>
  </si>
  <si>
    <t>115-125</t>
  </si>
  <si>
    <t>105-115</t>
  </si>
  <si>
    <t>95-105</t>
  </si>
  <si>
    <t>85-95</t>
  </si>
  <si>
    <t>&lt;85</t>
  </si>
  <si>
    <t>Axle load class(KN)</t>
  </si>
  <si>
    <t>mean load (KN)</t>
  </si>
  <si>
    <t>frequency(% single axle)</t>
  </si>
  <si>
    <t>Mpa/m</t>
  </si>
  <si>
    <t>m</t>
  </si>
  <si>
    <t>Day time traffic for BUC</t>
  </si>
  <si>
    <t xml:space="preserve">Expected Repetitions </t>
  </si>
  <si>
    <t>Felxural Stress</t>
  </si>
  <si>
    <t>Effective CBR of compacted subgrade</t>
  </si>
  <si>
    <t>%</t>
  </si>
  <si>
    <t>Modulus of subgrade reaction</t>
  </si>
  <si>
    <t>Effective K for 150mm DLC</t>
  </si>
  <si>
    <t>Mpa</t>
  </si>
  <si>
    <t xml:space="preserve">Poisson's Ratio of concrete </t>
  </si>
  <si>
    <t>Elastic modulus of concrete(  E )</t>
  </si>
  <si>
    <t>Unit weight of concrete (gamma)</t>
  </si>
  <si>
    <t>KN/m^3</t>
  </si>
  <si>
    <t>Night time temp</t>
  </si>
  <si>
    <t>Trial thickness of slab (h)</t>
  </si>
  <si>
    <t>Radius of relative stiffness (l)</t>
  </si>
  <si>
    <t>Stress Ratio</t>
  </si>
  <si>
    <t>Allowable repetations</t>
  </si>
  <si>
    <t>Fatigue Damage</t>
  </si>
  <si>
    <t>felxural Strength</t>
  </si>
  <si>
    <t>Tandem Axle</t>
  </si>
  <si>
    <t>380-400</t>
  </si>
  <si>
    <t>360-380</t>
  </si>
  <si>
    <t>340-360</t>
  </si>
  <si>
    <t>320-340</t>
  </si>
  <si>
    <t>300-320</t>
  </si>
  <si>
    <t>280-300</t>
  </si>
  <si>
    <t>260-280</t>
  </si>
  <si>
    <t>240-260</t>
  </si>
  <si>
    <t>220-240</t>
  </si>
  <si>
    <t>200-220</t>
  </si>
  <si>
    <t>180-200</t>
  </si>
  <si>
    <t>&lt; 180</t>
  </si>
  <si>
    <t>Expected Repititions</t>
  </si>
  <si>
    <t xml:space="preserve">Fatigue Damage from single axles = </t>
  </si>
  <si>
    <t>Total Fatigue damage</t>
  </si>
  <si>
    <t>for TDC</t>
  </si>
  <si>
    <t>Betta</t>
  </si>
  <si>
    <t>Max day-time temp ( for WB)</t>
  </si>
  <si>
    <t>for BUC</t>
  </si>
  <si>
    <t xml:space="preserve">Fatigue Damage from tandem axles = </t>
  </si>
  <si>
    <t>Night time traffic for TDC</t>
  </si>
  <si>
    <t>No of axles (day)</t>
  </si>
  <si>
    <t>No. of axles (night)</t>
  </si>
  <si>
    <t>Tridem Axle</t>
  </si>
  <si>
    <t>530-560</t>
  </si>
  <si>
    <t>500-530</t>
  </si>
  <si>
    <t>470-500</t>
  </si>
  <si>
    <t>440-470</t>
  </si>
  <si>
    <t>410-440</t>
  </si>
  <si>
    <t>380-410</t>
  </si>
  <si>
    <t>350-380</t>
  </si>
  <si>
    <t>320-350</t>
  </si>
  <si>
    <t>290-320</t>
  </si>
  <si>
    <t>260-290</t>
  </si>
  <si>
    <t>230-260</t>
  </si>
  <si>
    <t>&lt; 230</t>
  </si>
  <si>
    <t>Total Fatigue Damage</t>
  </si>
  <si>
    <t xml:space="preserve">Fatigue Damage from tridem axles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</si>
</sst>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3" borderId="0" xfId="0" applyNumberFormat="1" applyFill="1"/>
    <xf numFmtId="1" fontId="0" fillId="0" borderId="0" xfId="0" applyNumberFormat="1"/>
    <xf numFmtId="10" fontId="0" fillId="2" borderId="0" xfId="0" applyNumberFormat="1" applyFill="1"/>
    <xf numFmtId="0" fontId="1" fillId="3" borderId="0" xfId="0" applyFont="1" applyFill="1"/>
    <xf numFmtId="0" fontId="0" fillId="6" borderId="1" xfId="0" applyFill="1" applyBorder="1"/>
    <xf numFmtId="0" fontId="0" fillId="5" borderId="1" xfId="0" applyFill="1" applyBorder="1"/>
    <xf numFmtId="9" fontId="0" fillId="5" borderId="1" xfId="0" applyNumberFormat="1" applyFill="1" applyBorder="1"/>
    <xf numFmtId="2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5" xfId="0" applyFill="1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0" fillId="0" borderId="10" xfId="0" applyBorder="1"/>
    <xf numFmtId="1" fontId="0" fillId="0" borderId="10" xfId="0" applyNumberFormat="1" applyBorder="1"/>
    <xf numFmtId="2" fontId="0" fillId="0" borderId="3" xfId="0" applyNumberFormat="1" applyBorder="1"/>
    <xf numFmtId="0" fontId="0" fillId="4" borderId="2" xfId="0" applyFill="1" applyBorder="1"/>
    <xf numFmtId="1" fontId="0" fillId="0" borderId="3" xfId="0" applyNumberFormat="1" applyBorder="1"/>
    <xf numFmtId="10" fontId="0" fillId="0" borderId="0" xfId="0" applyNumberFormat="1"/>
    <xf numFmtId="164" fontId="0" fillId="0" borderId="0" xfId="0" applyNumberFormat="1"/>
    <xf numFmtId="0" fontId="0" fillId="0" borderId="0" xfId="1" applyNumberFormat="1" applyFont="1"/>
    <xf numFmtId="165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9" fontId="0" fillId="0" borderId="0" xfId="0" applyNumberFormat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</xdr:row>
      <xdr:rowOff>15240</xdr:rowOff>
    </xdr:from>
    <xdr:to>
      <xdr:col>17</xdr:col>
      <xdr:colOff>458189</xdr:colOff>
      <xdr:row>25</xdr:row>
      <xdr:rowOff>1868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5160A-DC86-583B-41E9-F6D581848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4520" y="198120"/>
          <a:ext cx="7087589" cy="43725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7ACB-28ED-4882-9DAA-9BF531B6D3BD}">
  <dimension ref="A1:E49"/>
  <sheetViews>
    <sheetView topLeftCell="A25" zoomScale="70" zoomScaleNormal="70" workbookViewId="0">
      <selection activeCell="B23" sqref="B23:C27"/>
    </sheetView>
  </sheetViews>
  <sheetFormatPr defaultRowHeight="14.5" x14ac:dyDescent="0.35"/>
  <cols>
    <col min="2" max="2" width="75.36328125" customWidth="1"/>
    <col min="3" max="3" width="13.6328125" bestFit="1" customWidth="1"/>
    <col min="4" max="4" width="15" bestFit="1" customWidth="1"/>
    <col min="5" max="5" width="15.1796875" bestFit="1" customWidth="1"/>
    <col min="20" max="20" width="16.81640625" bestFit="1" customWidth="1"/>
    <col min="21" max="21" width="13.54296875" bestFit="1" customWidth="1"/>
    <col min="22" max="22" width="21.1796875" bestFit="1" customWidth="1"/>
  </cols>
  <sheetData>
    <row r="1" spans="1:4" x14ac:dyDescent="0.35">
      <c r="B1" s="1" t="s">
        <v>13</v>
      </c>
      <c r="C1" s="1">
        <v>30</v>
      </c>
      <c r="D1" s="1" t="s">
        <v>14</v>
      </c>
    </row>
    <row r="2" spans="1:4" x14ac:dyDescent="0.35">
      <c r="B2" s="1" t="s">
        <v>17</v>
      </c>
      <c r="C2" s="6">
        <v>7.4999999999999997E-2</v>
      </c>
      <c r="D2" s="1"/>
    </row>
    <row r="3" spans="1:4" x14ac:dyDescent="0.35">
      <c r="B3" s="1" t="s">
        <v>18</v>
      </c>
      <c r="C3" s="1">
        <v>3000</v>
      </c>
      <c r="D3" s="1" t="s">
        <v>15</v>
      </c>
    </row>
    <row r="4" spans="1:4" x14ac:dyDescent="0.35">
      <c r="B4" s="1" t="s">
        <v>26</v>
      </c>
      <c r="C4" s="1">
        <f xml:space="preserve"> 2*C3</f>
        <v>6000</v>
      </c>
      <c r="D4" s="1" t="s">
        <v>15</v>
      </c>
    </row>
    <row r="5" spans="1:4" x14ac:dyDescent="0.35">
      <c r="A5" s="3" t="s">
        <v>0</v>
      </c>
      <c r="B5" s="7" t="s">
        <v>1</v>
      </c>
      <c r="C5" s="4">
        <f xml:space="preserve"> 365*(((1+C2)^C1 - 1)/C2)*C4</f>
        <v>226444691.51789197</v>
      </c>
      <c r="D5" s="2" t="s">
        <v>27</v>
      </c>
    </row>
    <row r="6" spans="1:4" x14ac:dyDescent="0.35">
      <c r="B6" t="s">
        <v>20</v>
      </c>
      <c r="C6" s="11">
        <v>2.4500000000000002</v>
      </c>
    </row>
    <row r="7" spans="1:4" x14ac:dyDescent="0.35">
      <c r="B7" t="s">
        <v>2</v>
      </c>
      <c r="C7" s="5">
        <f xml:space="preserve"> C5*C6</f>
        <v>554789494.21883535</v>
      </c>
      <c r="D7" t="s">
        <v>16</v>
      </c>
    </row>
    <row r="8" spans="1:4" x14ac:dyDescent="0.35">
      <c r="B8" t="s">
        <v>3</v>
      </c>
      <c r="C8" s="5">
        <f xml:space="preserve"> 0.55*C7</f>
        <v>305134221.82035947</v>
      </c>
      <c r="D8" t="s">
        <v>16</v>
      </c>
    </row>
    <row r="9" spans="1:4" x14ac:dyDescent="0.35">
      <c r="B9" t="s">
        <v>31</v>
      </c>
      <c r="C9" s="11">
        <v>0.25</v>
      </c>
    </row>
    <row r="10" spans="1:4" x14ac:dyDescent="0.35">
      <c r="B10" t="s">
        <v>4</v>
      </c>
      <c r="C10" s="5">
        <f xml:space="preserve"> C9*C8</f>
        <v>76283555.455089867</v>
      </c>
      <c r="D10" t="s">
        <v>16</v>
      </c>
    </row>
    <row r="11" spans="1:4" x14ac:dyDescent="0.35">
      <c r="C11" s="5"/>
    </row>
    <row r="12" spans="1:4" x14ac:dyDescent="0.35">
      <c r="B12" t="s">
        <v>28</v>
      </c>
      <c r="C12" s="11">
        <v>0.55000000000000004</v>
      </c>
    </row>
    <row r="13" spans="1:4" x14ac:dyDescent="0.35">
      <c r="B13" t="s">
        <v>29</v>
      </c>
      <c r="C13">
        <v>0.45</v>
      </c>
    </row>
    <row r="14" spans="1:4" x14ac:dyDescent="0.35">
      <c r="A14" s="3" t="s">
        <v>5</v>
      </c>
      <c r="B14" t="s">
        <v>6</v>
      </c>
      <c r="C14" s="5">
        <f xml:space="preserve"> C12*C10</f>
        <v>41955955.500299431</v>
      </c>
      <c r="D14" t="s">
        <v>16</v>
      </c>
    </row>
    <row r="15" spans="1:4" x14ac:dyDescent="0.35">
      <c r="B15" t="s">
        <v>7</v>
      </c>
      <c r="C15" s="5">
        <f xml:space="preserve"> C13*C10</f>
        <v>34327599.954790443</v>
      </c>
      <c r="D15" t="s">
        <v>16</v>
      </c>
    </row>
    <row r="16" spans="1:4" x14ac:dyDescent="0.35">
      <c r="B16" t="s">
        <v>8</v>
      </c>
      <c r="C16" s="5">
        <f xml:space="preserve"> 0.5*C15</f>
        <v>17163799.977395222</v>
      </c>
      <c r="D16" t="s">
        <v>16</v>
      </c>
    </row>
    <row r="17" spans="1:5" x14ac:dyDescent="0.35">
      <c r="B17" t="s">
        <v>9</v>
      </c>
      <c r="C17" s="5">
        <f xml:space="preserve"> 0.5*C14</f>
        <v>20977977.750149716</v>
      </c>
      <c r="D17" t="s">
        <v>16</v>
      </c>
    </row>
    <row r="19" spans="1:5" x14ac:dyDescent="0.35">
      <c r="A19" s="3" t="s">
        <v>10</v>
      </c>
      <c r="B19" t="s">
        <v>11</v>
      </c>
      <c r="C19" s="5">
        <f xml:space="preserve"> C16</f>
        <v>17163799.977395222</v>
      </c>
      <c r="D19" t="s">
        <v>16</v>
      </c>
    </row>
    <row r="20" spans="1:5" x14ac:dyDescent="0.35">
      <c r="B20" t="s">
        <v>30</v>
      </c>
      <c r="C20" s="11">
        <v>0.45</v>
      </c>
    </row>
    <row r="21" spans="1:5" x14ac:dyDescent="0.35">
      <c r="B21" t="s">
        <v>12</v>
      </c>
      <c r="C21" s="5">
        <f xml:space="preserve"> C20*C17</f>
        <v>9440089.9875673726</v>
      </c>
      <c r="D21" t="s">
        <v>16</v>
      </c>
    </row>
    <row r="23" spans="1:5" x14ac:dyDescent="0.35">
      <c r="B23" s="8" t="s">
        <v>19</v>
      </c>
      <c r="C23" s="8" t="s">
        <v>25</v>
      </c>
      <c r="D23" t="s">
        <v>32</v>
      </c>
      <c r="E23" t="s">
        <v>33</v>
      </c>
    </row>
    <row r="24" spans="1:5" x14ac:dyDescent="0.35">
      <c r="B24" s="9" t="s">
        <v>21</v>
      </c>
      <c r="C24" s="10">
        <v>0.4</v>
      </c>
      <c r="D24" s="5">
        <f xml:space="preserve"> $C$19*C24</f>
        <v>6865519.990958089</v>
      </c>
      <c r="E24" s="5">
        <f xml:space="preserve"> $C$21*C24</f>
        <v>3776035.9950269493</v>
      </c>
    </row>
    <row r="25" spans="1:5" x14ac:dyDescent="0.35">
      <c r="B25" s="9" t="s">
        <v>22</v>
      </c>
      <c r="C25" s="10">
        <v>0.2</v>
      </c>
      <c r="D25" s="5">
        <f xml:space="preserve"> $C$19*C25</f>
        <v>3432759.9954790445</v>
      </c>
      <c r="E25" s="5">
        <f xml:space="preserve"> $C$21*C25</f>
        <v>1888017.9975134747</v>
      </c>
    </row>
    <row r="26" spans="1:5" x14ac:dyDescent="0.35">
      <c r="B26" s="9" t="s">
        <v>24</v>
      </c>
      <c r="C26" s="10">
        <v>0.2</v>
      </c>
      <c r="D26" s="5">
        <f xml:space="preserve"> $C$19*C26</f>
        <v>3432759.9954790445</v>
      </c>
      <c r="E26" s="5">
        <f xml:space="preserve"> $C$21*C26</f>
        <v>1888017.9975134747</v>
      </c>
    </row>
    <row r="27" spans="1:5" x14ac:dyDescent="0.35">
      <c r="B27" s="9" t="s">
        <v>23</v>
      </c>
      <c r="C27" s="10">
        <v>0.2</v>
      </c>
      <c r="D27" s="5">
        <f xml:space="preserve"> $C$19*C27</f>
        <v>3432759.9954790445</v>
      </c>
      <c r="E27" s="5">
        <f xml:space="preserve"> $C$21*C27</f>
        <v>1888017.9975134747</v>
      </c>
    </row>
    <row r="28" spans="1:5" ht="15" thickBot="1" x14ac:dyDescent="0.4"/>
    <row r="29" spans="1:5" x14ac:dyDescent="0.35">
      <c r="A29" s="17"/>
      <c r="B29" s="18" t="s">
        <v>13</v>
      </c>
      <c r="C29" s="18">
        <v>30</v>
      </c>
      <c r="D29" s="19" t="s">
        <v>14</v>
      </c>
    </row>
    <row r="30" spans="1:5" x14ac:dyDescent="0.35">
      <c r="A30" s="20"/>
      <c r="B30" s="12" t="s">
        <v>17</v>
      </c>
      <c r="C30" s="13">
        <v>7.4999999999999997E-2</v>
      </c>
      <c r="D30" s="21"/>
    </row>
    <row r="31" spans="1:5" x14ac:dyDescent="0.35">
      <c r="A31" s="20"/>
      <c r="B31" s="12" t="s">
        <v>18</v>
      </c>
      <c r="C31" s="12">
        <v>2810</v>
      </c>
      <c r="D31" s="21" t="s">
        <v>15</v>
      </c>
    </row>
    <row r="32" spans="1:5" x14ac:dyDescent="0.35">
      <c r="A32" s="20"/>
      <c r="B32" s="12" t="s">
        <v>26</v>
      </c>
      <c r="C32" s="12">
        <f xml:space="preserve"> 2*C31</f>
        <v>5620</v>
      </c>
      <c r="D32" s="21" t="s">
        <v>15</v>
      </c>
    </row>
    <row r="33" spans="1:4" x14ac:dyDescent="0.35">
      <c r="A33" s="22" t="s">
        <v>0</v>
      </c>
      <c r="B33" s="14" t="s">
        <v>1</v>
      </c>
      <c r="C33" s="15">
        <f xml:space="preserve"> 365*(((1+C30)^C29 - 1)/C30)*C32</f>
        <v>212103194.38842547</v>
      </c>
      <c r="D33" s="21" t="s">
        <v>27</v>
      </c>
    </row>
    <row r="34" spans="1:4" x14ac:dyDescent="0.35">
      <c r="A34" s="20"/>
      <c r="B34" s="12" t="s">
        <v>20</v>
      </c>
      <c r="C34" s="16">
        <v>2.4500000000000002</v>
      </c>
      <c r="D34" s="21"/>
    </row>
    <row r="35" spans="1:4" x14ac:dyDescent="0.35">
      <c r="A35" s="20"/>
      <c r="B35" s="12" t="s">
        <v>2</v>
      </c>
      <c r="C35" s="15">
        <f xml:space="preserve"> C33*C34</f>
        <v>519652826.25164247</v>
      </c>
      <c r="D35" s="21" t="s">
        <v>16</v>
      </c>
    </row>
    <row r="36" spans="1:4" x14ac:dyDescent="0.35">
      <c r="A36" s="20"/>
      <c r="B36" s="12" t="s">
        <v>3</v>
      </c>
      <c r="C36" s="15">
        <f xml:space="preserve"> 0.55*C35</f>
        <v>285809054.43840337</v>
      </c>
      <c r="D36" s="21" t="s">
        <v>16</v>
      </c>
    </row>
    <row r="37" spans="1:4" x14ac:dyDescent="0.35">
      <c r="A37" s="20"/>
      <c r="B37" s="12" t="s">
        <v>31</v>
      </c>
      <c r="C37" s="16">
        <v>0.25</v>
      </c>
      <c r="D37" s="21"/>
    </row>
    <row r="38" spans="1:4" ht="15" thickBot="1" x14ac:dyDescent="0.4">
      <c r="A38" s="23"/>
      <c r="B38" s="24" t="s">
        <v>4</v>
      </c>
      <c r="C38" s="25">
        <f xml:space="preserve"> C37*C36</f>
        <v>71452263.609600842</v>
      </c>
      <c r="D38" s="26" t="s">
        <v>16</v>
      </c>
    </row>
    <row r="39" spans="1:4" ht="15" thickBot="1" x14ac:dyDescent="0.4">
      <c r="A39" s="27"/>
      <c r="B39" s="27"/>
      <c r="C39" s="28"/>
      <c r="D39" s="27"/>
    </row>
    <row r="40" spans="1:4" x14ac:dyDescent="0.35">
      <c r="A40" s="17"/>
      <c r="B40" s="18" t="s">
        <v>28</v>
      </c>
      <c r="C40" s="29">
        <v>0.55000000000000004</v>
      </c>
      <c r="D40" s="19"/>
    </row>
    <row r="41" spans="1:4" x14ac:dyDescent="0.35">
      <c r="A41" s="20"/>
      <c r="B41" s="12" t="s">
        <v>29</v>
      </c>
      <c r="C41" s="12">
        <v>0.45</v>
      </c>
      <c r="D41" s="21"/>
    </row>
    <row r="42" spans="1:4" x14ac:dyDescent="0.35">
      <c r="A42" s="22" t="s">
        <v>5</v>
      </c>
      <c r="B42" s="12" t="s">
        <v>6</v>
      </c>
      <c r="C42" s="15">
        <f xml:space="preserve"> C40*C38</f>
        <v>39298744.985280469</v>
      </c>
      <c r="D42" s="21" t="s">
        <v>16</v>
      </c>
    </row>
    <row r="43" spans="1:4" x14ac:dyDescent="0.35">
      <c r="A43" s="20"/>
      <c r="B43" s="12" t="s">
        <v>7</v>
      </c>
      <c r="C43" s="15">
        <f xml:space="preserve"> C41*C38</f>
        <v>32153518.62432038</v>
      </c>
      <c r="D43" s="21" t="s">
        <v>16</v>
      </c>
    </row>
    <row r="44" spans="1:4" x14ac:dyDescent="0.35">
      <c r="A44" s="20"/>
      <c r="B44" s="12" t="s">
        <v>8</v>
      </c>
      <c r="C44" s="15">
        <f xml:space="preserve"> 0.5*C43</f>
        <v>16076759.31216019</v>
      </c>
      <c r="D44" s="21" t="s">
        <v>16</v>
      </c>
    </row>
    <row r="45" spans="1:4" ht="15" thickBot="1" x14ac:dyDescent="0.4">
      <c r="A45" s="23"/>
      <c r="B45" s="24" t="s">
        <v>9</v>
      </c>
      <c r="C45" s="25">
        <f xml:space="preserve"> 0.5*C42</f>
        <v>19649372.492640235</v>
      </c>
      <c r="D45" s="26" t="s">
        <v>16</v>
      </c>
    </row>
    <row r="46" spans="1:4" ht="15" thickBot="1" x14ac:dyDescent="0.4">
      <c r="A46" s="27"/>
      <c r="B46" s="27"/>
      <c r="C46" s="27"/>
      <c r="D46" s="27"/>
    </row>
    <row r="47" spans="1:4" x14ac:dyDescent="0.35">
      <c r="A47" s="30" t="s">
        <v>10</v>
      </c>
      <c r="B47" s="18" t="s">
        <v>11</v>
      </c>
      <c r="C47" s="31">
        <f xml:space="preserve"> C44</f>
        <v>16076759.31216019</v>
      </c>
      <c r="D47" s="19" t="s">
        <v>16</v>
      </c>
    </row>
    <row r="48" spans="1:4" x14ac:dyDescent="0.35">
      <c r="A48" s="20"/>
      <c r="B48" s="12" t="s">
        <v>30</v>
      </c>
      <c r="C48" s="16">
        <v>0.45</v>
      </c>
      <c r="D48" s="21"/>
    </row>
    <row r="49" spans="1:4" ht="15" thickBot="1" x14ac:dyDescent="0.4">
      <c r="A49" s="23"/>
      <c r="B49" s="24" t="s">
        <v>12</v>
      </c>
      <c r="C49" s="25">
        <f xml:space="preserve"> C48*C45</f>
        <v>8842217.6216881052</v>
      </c>
      <c r="D49" s="26" t="s">
        <v>16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D4C9-E4F6-457F-9D16-21F10B953077}">
  <dimension ref="A1:Y97"/>
  <sheetViews>
    <sheetView tabSelected="1" topLeftCell="A75" zoomScale="60" zoomScaleNormal="60" workbookViewId="0">
      <selection activeCell="M10" sqref="M10"/>
    </sheetView>
  </sheetViews>
  <sheetFormatPr defaultRowHeight="14.5" x14ac:dyDescent="0.35"/>
  <cols>
    <col min="1" max="1" width="23.36328125" customWidth="1"/>
    <col min="2" max="2" width="13.1796875" bestFit="1" customWidth="1"/>
    <col min="3" max="3" width="14.1796875" customWidth="1"/>
    <col min="4" max="4" width="13.54296875" customWidth="1"/>
    <col min="5" max="5" width="9.36328125" customWidth="1"/>
    <col min="6" max="6" width="14.26953125" customWidth="1"/>
    <col min="7" max="7" width="10.36328125" customWidth="1"/>
    <col min="15" max="15" width="4.81640625" customWidth="1"/>
    <col min="16" max="16" width="23.1796875" customWidth="1"/>
    <col min="19" max="19" width="15.81640625" customWidth="1"/>
    <col min="20" max="20" width="10.54296875" customWidth="1"/>
    <col min="21" max="21" width="14.26953125" customWidth="1"/>
  </cols>
  <sheetData>
    <row r="1" spans="1:23" ht="14.5" customHeight="1" x14ac:dyDescent="0.35">
      <c r="A1" s="36" t="s">
        <v>52</v>
      </c>
      <c r="B1">
        <v>16305610</v>
      </c>
      <c r="P1" s="36" t="s">
        <v>52</v>
      </c>
      <c r="Q1">
        <v>17163800</v>
      </c>
    </row>
    <row r="2" spans="1:23" ht="15" customHeight="1" x14ac:dyDescent="0.35">
      <c r="A2" s="36" t="s">
        <v>92</v>
      </c>
      <c r="B2">
        <v>8968086</v>
      </c>
      <c r="P2" s="36" t="s">
        <v>92</v>
      </c>
      <c r="Q2">
        <v>9440090</v>
      </c>
    </row>
    <row r="3" spans="1:23" ht="17.5" customHeight="1" x14ac:dyDescent="0.35">
      <c r="A3" s="36" t="s">
        <v>55</v>
      </c>
      <c r="B3" s="34">
        <v>8</v>
      </c>
      <c r="C3" t="s">
        <v>56</v>
      </c>
      <c r="D3" s="39" t="s">
        <v>19</v>
      </c>
      <c r="E3" s="38" t="s">
        <v>25</v>
      </c>
      <c r="F3" s="38" t="s">
        <v>93</v>
      </c>
      <c r="G3" s="38" t="s">
        <v>94</v>
      </c>
      <c r="P3" s="36" t="s">
        <v>55</v>
      </c>
      <c r="Q3" s="34">
        <v>8</v>
      </c>
      <c r="R3" t="s">
        <v>56</v>
      </c>
      <c r="S3" s="39" t="s">
        <v>19</v>
      </c>
      <c r="T3" s="38" t="s">
        <v>25</v>
      </c>
      <c r="U3" s="38" t="s">
        <v>93</v>
      </c>
      <c r="V3" s="38" t="s">
        <v>94</v>
      </c>
    </row>
    <row r="4" spans="1:23" ht="28.5" customHeight="1" x14ac:dyDescent="0.35">
      <c r="A4" s="36" t="s">
        <v>57</v>
      </c>
      <c r="B4">
        <v>50.3</v>
      </c>
      <c r="C4" t="s">
        <v>50</v>
      </c>
      <c r="D4" s="39" t="s">
        <v>21</v>
      </c>
      <c r="E4" s="40">
        <v>0.39</v>
      </c>
      <c r="F4" s="5">
        <f xml:space="preserve"> $B$1*E4</f>
        <v>6359187.9000000004</v>
      </c>
      <c r="G4" s="5">
        <f>$B$2*E4</f>
        <v>3497553.54</v>
      </c>
      <c r="P4" s="36" t="s">
        <v>57</v>
      </c>
      <c r="Q4">
        <v>50.3</v>
      </c>
      <c r="R4" t="s">
        <v>50</v>
      </c>
      <c r="S4" s="39" t="s">
        <v>21</v>
      </c>
      <c r="T4" s="40">
        <v>0.39</v>
      </c>
      <c r="U4">
        <f xml:space="preserve"> $B$1*T4</f>
        <v>6359187.9000000004</v>
      </c>
      <c r="V4" s="5">
        <f>$B$2*T4</f>
        <v>3497553.54</v>
      </c>
    </row>
    <row r="5" spans="1:23" ht="30" customHeight="1" x14ac:dyDescent="0.35">
      <c r="A5" s="36" t="s">
        <v>58</v>
      </c>
      <c r="B5">
        <v>300</v>
      </c>
      <c r="C5" t="s">
        <v>50</v>
      </c>
      <c r="D5" s="39" t="s">
        <v>22</v>
      </c>
      <c r="E5" s="40">
        <v>0.17</v>
      </c>
      <c r="F5" s="5">
        <f t="shared" ref="F5:F7" si="0" xml:space="preserve"> $B$1*E5</f>
        <v>2771953.7</v>
      </c>
      <c r="G5" s="5">
        <f t="shared" ref="G5:G7" si="1">$B$2*E5</f>
        <v>1524574.62</v>
      </c>
      <c r="P5" s="36" t="s">
        <v>58</v>
      </c>
      <c r="Q5">
        <v>300</v>
      </c>
      <c r="R5" t="s">
        <v>50</v>
      </c>
      <c r="S5" s="39" t="s">
        <v>22</v>
      </c>
      <c r="T5" s="40">
        <v>0.17</v>
      </c>
      <c r="U5">
        <f t="shared" ref="U5:U7" si="2" xml:space="preserve"> $B$1*T5</f>
        <v>2771953.7</v>
      </c>
      <c r="V5" s="5">
        <f t="shared" ref="V5:V7" si="3">$B$2*T5</f>
        <v>1524574.62</v>
      </c>
    </row>
    <row r="6" spans="1:23" ht="33.5" customHeight="1" x14ac:dyDescent="0.35">
      <c r="A6" s="36" t="s">
        <v>61</v>
      </c>
      <c r="B6">
        <v>30000</v>
      </c>
      <c r="C6" t="s">
        <v>59</v>
      </c>
      <c r="D6" s="39" t="s">
        <v>24</v>
      </c>
      <c r="E6" s="40">
        <v>0.21</v>
      </c>
      <c r="F6" s="5">
        <f t="shared" si="0"/>
        <v>3424178.1</v>
      </c>
      <c r="G6" s="5">
        <f t="shared" si="1"/>
        <v>1883298.0599999998</v>
      </c>
      <c r="P6" s="36" t="s">
        <v>61</v>
      </c>
      <c r="Q6">
        <v>30000</v>
      </c>
      <c r="R6" t="s">
        <v>59</v>
      </c>
      <c r="S6" s="39" t="s">
        <v>24</v>
      </c>
      <c r="T6" s="40">
        <v>0.21</v>
      </c>
      <c r="U6">
        <f t="shared" si="2"/>
        <v>3424178.1</v>
      </c>
      <c r="V6" s="5">
        <f t="shared" si="3"/>
        <v>1883298.0599999998</v>
      </c>
    </row>
    <row r="7" spans="1:23" ht="32.5" customHeight="1" x14ac:dyDescent="0.35">
      <c r="A7" s="36" t="s">
        <v>60</v>
      </c>
      <c r="B7">
        <v>0.15</v>
      </c>
      <c r="D7" s="39" t="s">
        <v>23</v>
      </c>
      <c r="E7" s="40">
        <v>0.23</v>
      </c>
      <c r="F7" s="5">
        <f t="shared" si="0"/>
        <v>3750290.3000000003</v>
      </c>
      <c r="G7" s="5">
        <f t="shared" si="1"/>
        <v>2062659.78</v>
      </c>
      <c r="P7" s="36" t="s">
        <v>60</v>
      </c>
      <c r="Q7">
        <v>0.15</v>
      </c>
      <c r="S7" s="39" t="s">
        <v>23</v>
      </c>
      <c r="T7" s="40">
        <v>0.23</v>
      </c>
      <c r="U7">
        <f t="shared" si="2"/>
        <v>3750290.3000000003</v>
      </c>
      <c r="V7" s="5">
        <f t="shared" si="3"/>
        <v>2062659.78</v>
      </c>
    </row>
    <row r="8" spans="1:23" ht="30.5" customHeight="1" x14ac:dyDescent="0.35">
      <c r="A8" s="36" t="s">
        <v>62</v>
      </c>
      <c r="B8">
        <v>24</v>
      </c>
      <c r="C8" t="s">
        <v>63</v>
      </c>
      <c r="P8" s="36" t="s">
        <v>62</v>
      </c>
      <c r="Q8">
        <v>24</v>
      </c>
      <c r="R8" t="s">
        <v>63</v>
      </c>
    </row>
    <row r="9" spans="1:23" ht="27.5" customHeight="1" x14ac:dyDescent="0.35">
      <c r="A9" s="36" t="s">
        <v>89</v>
      </c>
      <c r="B9">
        <v>16.8</v>
      </c>
      <c r="P9" s="36" t="s">
        <v>89</v>
      </c>
      <c r="Q9">
        <v>16.8</v>
      </c>
    </row>
    <row r="10" spans="1:23" ht="15.5" customHeight="1" x14ac:dyDescent="0.35">
      <c r="A10" s="36" t="s">
        <v>64</v>
      </c>
      <c r="B10" s="33">
        <f xml:space="preserve"> B9/2 + 5</f>
        <v>13.4</v>
      </c>
      <c r="P10" s="36" t="s">
        <v>64</v>
      </c>
      <c r="Q10" s="33">
        <f xml:space="preserve"> Q9/2 + 5</f>
        <v>13.4</v>
      </c>
    </row>
    <row r="11" spans="1:23" ht="18" customHeight="1" x14ac:dyDescent="0.35">
      <c r="A11" s="36" t="s">
        <v>65</v>
      </c>
      <c r="B11">
        <v>0.41</v>
      </c>
      <c r="C11" t="s">
        <v>51</v>
      </c>
      <c r="P11" s="36" t="s">
        <v>65</v>
      </c>
      <c r="Q11">
        <v>0.28000000000000003</v>
      </c>
      <c r="R11" t="s">
        <v>51</v>
      </c>
    </row>
    <row r="12" spans="1:23" ht="30.5" customHeight="1" x14ac:dyDescent="0.35">
      <c r="A12" s="36" t="s">
        <v>66</v>
      </c>
      <c r="B12" s="35">
        <f xml:space="preserve"> (B6*(B11)^3/(12*B5*(1-(B7)^2)))^0.25</f>
        <v>0.87551459350199945</v>
      </c>
      <c r="C12" t="s">
        <v>51</v>
      </c>
      <c r="P12" s="36" t="s">
        <v>66</v>
      </c>
      <c r="Q12" s="35">
        <f xml:space="preserve"> (Q6*(Q11)^3/(12*Q5*(1-(Q7)^2)))^0.25</f>
        <v>0.65772450152154138</v>
      </c>
      <c r="R12" t="s">
        <v>51</v>
      </c>
    </row>
    <row r="13" spans="1:23" ht="24" customHeight="1" x14ac:dyDescent="0.35">
      <c r="A13" s="36" t="s">
        <v>70</v>
      </c>
      <c r="B13">
        <v>4.9000000000000004</v>
      </c>
      <c r="C13" t="s">
        <v>59</v>
      </c>
      <c r="P13" s="36" t="s">
        <v>70</v>
      </c>
      <c r="Q13">
        <v>4.5</v>
      </c>
      <c r="R13" t="s">
        <v>59</v>
      </c>
    </row>
    <row r="14" spans="1:23" x14ac:dyDescent="0.35">
      <c r="A14" s="36" t="s">
        <v>88</v>
      </c>
      <c r="B14">
        <v>0.66</v>
      </c>
      <c r="P14" s="36" t="s">
        <v>88</v>
      </c>
      <c r="Q14">
        <v>0.66</v>
      </c>
    </row>
    <row r="15" spans="1:23" x14ac:dyDescent="0.35">
      <c r="A15" s="36"/>
      <c r="P15" s="36"/>
    </row>
    <row r="16" spans="1:23" x14ac:dyDescent="0.35">
      <c r="A16" s="44" t="s">
        <v>90</v>
      </c>
      <c r="B16" s="44"/>
      <c r="C16" s="44"/>
      <c r="D16" s="44"/>
      <c r="E16" s="44"/>
      <c r="F16" s="44"/>
      <c r="G16" s="44"/>
      <c r="H16" s="44"/>
      <c r="P16" s="44" t="s">
        <v>90</v>
      </c>
      <c r="Q16" s="44"/>
      <c r="R16" s="44"/>
      <c r="S16" s="44"/>
      <c r="T16" s="44"/>
      <c r="U16" s="44"/>
      <c r="V16" s="44"/>
      <c r="W16" s="44"/>
    </row>
    <row r="17" spans="1:23" x14ac:dyDescent="0.35">
      <c r="A17" s="41" t="s">
        <v>34</v>
      </c>
      <c r="B17" s="41"/>
      <c r="C17" s="41"/>
      <c r="D17" s="41"/>
      <c r="E17" s="41"/>
      <c r="F17" s="41"/>
      <c r="G17" s="41"/>
      <c r="H17" s="41"/>
      <c r="P17" s="41" t="s">
        <v>34</v>
      </c>
      <c r="Q17" s="41"/>
      <c r="R17" s="41"/>
      <c r="S17" s="41"/>
      <c r="T17" s="41"/>
      <c r="U17" s="41"/>
      <c r="V17" s="41"/>
      <c r="W17" s="41"/>
    </row>
    <row r="18" spans="1:23" ht="58" x14ac:dyDescent="0.35">
      <c r="A18" t="s">
        <v>47</v>
      </c>
      <c r="B18" t="s">
        <v>48</v>
      </c>
      <c r="C18" s="36" t="s">
        <v>49</v>
      </c>
      <c r="D18" s="36" t="s">
        <v>53</v>
      </c>
      <c r="E18" s="36" t="s">
        <v>54</v>
      </c>
      <c r="F18" s="36" t="s">
        <v>67</v>
      </c>
      <c r="G18" s="36" t="s">
        <v>68</v>
      </c>
      <c r="H18" s="36" t="s">
        <v>69</v>
      </c>
      <c r="P18" t="s">
        <v>47</v>
      </c>
      <c r="Q18" t="s">
        <v>48</v>
      </c>
      <c r="R18" s="36" t="s">
        <v>49</v>
      </c>
      <c r="S18" s="36" t="s">
        <v>53</v>
      </c>
      <c r="T18" s="36" t="s">
        <v>54</v>
      </c>
      <c r="U18" s="36" t="s">
        <v>67</v>
      </c>
      <c r="V18" s="36" t="s">
        <v>68</v>
      </c>
      <c r="W18" s="36" t="s">
        <v>69</v>
      </c>
    </row>
    <row r="19" spans="1:23" x14ac:dyDescent="0.35">
      <c r="A19" t="s">
        <v>35</v>
      </c>
      <c r="B19">
        <v>190</v>
      </c>
      <c r="C19" s="32">
        <v>0.18149999999999999</v>
      </c>
      <c r="D19" s="5">
        <f xml:space="preserve"> $F$5*C19</f>
        <v>503109.59655000002</v>
      </c>
      <c r="E19" s="11">
        <f t="shared" ref="E19:E28" si="4" xml:space="preserve"> IF(B5&lt; 80, 0.008-6.12*($B$8*($B$11)^2/($B$5*($B$12)^2))+2.36*(B19*$B$11/($B$5*($B$12)^4))+0.02677*$B$9, IF(B5&lt;150,0.08-9.69*($B$8*($B$11)^2/($B$5*($B$12)^2))+2.09*(B19*$B$11/($B$5*($B$12)^4))+0.0409*$B$9,IF(B5&gt;150, 0.042+3.26*($B$8*($B$11)^2/($B$5*($B$12)^2))+1.62*(B19*$B$11/($B$5*($B$12)^4))+0.0522*$B$9, "Do")))</f>
        <v>1.6920954446232432</v>
      </c>
      <c r="F19" s="37">
        <f xml:space="preserve"> E19/($B$13*1.1)</f>
        <v>0.31393236449410816</v>
      </c>
      <c r="G19" s="5" t="str">
        <f xml:space="preserve"> IF(F19&lt;0.45, "Infinite", IF(F19&lt;0.55, (4.2577/(F19-0.4325))^3.268, "DO"))</f>
        <v>Infinite</v>
      </c>
      <c r="H19">
        <f xml:space="preserve"> IF(G19= "Infinite",0, D19/G19)</f>
        <v>0</v>
      </c>
      <c r="P19" t="s">
        <v>35</v>
      </c>
      <c r="Q19">
        <v>190</v>
      </c>
      <c r="R19" s="32">
        <v>0.18149999999999999</v>
      </c>
      <c r="S19" s="5">
        <f xml:space="preserve"> $F$5*R19</f>
        <v>503109.59655000002</v>
      </c>
      <c r="T19" s="11">
        <f t="shared" ref="T19:T28" si="5" xml:space="preserve"> IF(Q5&lt; 80, 0.008-6.12*($B$8*($B$11)^2/($B$5*($B$12)^2))+2.36*(Q19*$B$11/($B$5*($B$12)^4))+0.02677*$B$9, IF(Q5&lt;150,0.08-9.69*($B$8*($B$11)^2/($B$5*($B$12)^2))+2.09*(Q19*$B$11/($B$5*($B$12)^4))+0.0409*$B$9,IF(Q5&gt;150, 0.042+3.26*($B$8*($B$11)^2/($B$5*($B$12)^2))+1.62*(Q19*$B$11/($B$5*($B$12)^4))+0.0522*$B$9, "Do")))</f>
        <v>1.6920954446232432</v>
      </c>
      <c r="U19" s="37">
        <f xml:space="preserve"> T19/($B$13*1.1)</f>
        <v>0.31393236449410816</v>
      </c>
      <c r="V19" s="5" t="str">
        <f xml:space="preserve"> IF(U19&lt;0.45, "Infinite", IF(U19&lt;0.55, (4.2577/(U19-0.4325))^3.268, "DO"))</f>
        <v>Infinite</v>
      </c>
      <c r="W19">
        <f xml:space="preserve"> IF(V19= "Infinite",0, S19/V19)</f>
        <v>0</v>
      </c>
    </row>
    <row r="20" spans="1:23" x14ac:dyDescent="0.35">
      <c r="A20" t="s">
        <v>36</v>
      </c>
      <c r="B20">
        <v>180</v>
      </c>
      <c r="C20" s="32">
        <v>0.17430000000000001</v>
      </c>
      <c r="D20" s="5">
        <f t="shared" ref="D20:D30" si="6" xml:space="preserve"> $F$5*C20</f>
        <v>483151.52991000004</v>
      </c>
      <c r="E20" s="11">
        <f t="shared" si="4"/>
        <v>1.6544143024459679</v>
      </c>
      <c r="F20" s="37">
        <f t="shared" ref="F20:F30" si="7" xml:space="preserve"> E20/($B$13*1.1)</f>
        <v>0.30694142902522592</v>
      </c>
      <c r="G20" s="5" t="str">
        <f t="shared" ref="G20:G30" si="8" xml:space="preserve"> IF(F20&lt;0.45, "Infinite", IF(F20&lt;0.55, (4.2577/(F20-0.4325))^3.268, "DO"))</f>
        <v>Infinite</v>
      </c>
      <c r="H20">
        <f t="shared" ref="H20:H30" si="9" xml:space="preserve"> IF(G20= "Infinite",0, D20/G20)</f>
        <v>0</v>
      </c>
      <c r="P20" t="s">
        <v>36</v>
      </c>
      <c r="Q20">
        <v>180</v>
      </c>
      <c r="R20" s="32">
        <v>0.17430000000000001</v>
      </c>
      <c r="S20" s="5">
        <f t="shared" ref="S20:S30" si="10" xml:space="preserve"> $F$5*R20</f>
        <v>483151.52991000004</v>
      </c>
      <c r="T20" s="11">
        <f t="shared" si="5"/>
        <v>1.6544143024459679</v>
      </c>
      <c r="U20" s="37">
        <f t="shared" ref="U20:U30" si="11" xml:space="preserve"> T20/($B$13*1.1)</f>
        <v>0.30694142902522592</v>
      </c>
      <c r="V20" s="5" t="str">
        <f t="shared" ref="V20:V30" si="12" xml:space="preserve"> IF(U20&lt;0.45, "Infinite", IF(U20&lt;0.55, (4.2577/(U20-0.4325))^3.268, "DO"))</f>
        <v>Infinite</v>
      </c>
      <c r="W20">
        <f t="shared" ref="W20:W30" si="13" xml:space="preserve"> IF(V20= "Infinite",0, S20/V20)</f>
        <v>0</v>
      </c>
    </row>
    <row r="21" spans="1:23" x14ac:dyDescent="0.35">
      <c r="A21" t="s">
        <v>37</v>
      </c>
      <c r="B21">
        <v>170</v>
      </c>
      <c r="C21" s="32">
        <v>0.1827</v>
      </c>
      <c r="D21" s="5">
        <f t="shared" si="6"/>
        <v>506435.94099000003</v>
      </c>
      <c r="E21" s="11">
        <f t="shared" si="4"/>
        <v>1.2835559186944245</v>
      </c>
      <c r="F21" s="37">
        <f t="shared" si="7"/>
        <v>0.23813653408059821</v>
      </c>
      <c r="G21" s="5" t="str">
        <f t="shared" si="8"/>
        <v>Infinite</v>
      </c>
      <c r="H21">
        <f t="shared" si="9"/>
        <v>0</v>
      </c>
      <c r="P21" t="s">
        <v>37</v>
      </c>
      <c r="Q21">
        <v>170</v>
      </c>
      <c r="R21" s="32">
        <v>0.1827</v>
      </c>
      <c r="S21" s="5">
        <f t="shared" si="10"/>
        <v>506435.94099000003</v>
      </c>
      <c r="T21" s="11">
        <f t="shared" si="5"/>
        <v>1.2835559186944245</v>
      </c>
      <c r="U21" s="37">
        <f t="shared" si="11"/>
        <v>0.23813653408059821</v>
      </c>
      <c r="V21" s="5" t="str">
        <f t="shared" si="12"/>
        <v>Infinite</v>
      </c>
      <c r="W21">
        <f t="shared" si="13"/>
        <v>0</v>
      </c>
    </row>
    <row r="22" spans="1:23" x14ac:dyDescent="0.35">
      <c r="A22" t="s">
        <v>38</v>
      </c>
      <c r="B22">
        <v>160</v>
      </c>
      <c r="C22" s="32">
        <v>0.1298</v>
      </c>
      <c r="D22" s="5">
        <f t="shared" si="6"/>
        <v>359799.59026000003</v>
      </c>
      <c r="E22" s="11">
        <f t="shared" si="4"/>
        <v>1.2286624029299984</v>
      </c>
      <c r="F22" s="37">
        <f t="shared" si="7"/>
        <v>0.22795220833580673</v>
      </c>
      <c r="G22" s="5" t="str">
        <f t="shared" si="8"/>
        <v>Infinite</v>
      </c>
      <c r="H22">
        <f t="shared" si="9"/>
        <v>0</v>
      </c>
      <c r="P22" t="s">
        <v>38</v>
      </c>
      <c r="Q22">
        <v>160</v>
      </c>
      <c r="R22" s="32">
        <v>0.1298</v>
      </c>
      <c r="S22" s="5">
        <f t="shared" si="10"/>
        <v>359799.59026000003</v>
      </c>
      <c r="T22" s="11">
        <f t="shared" si="5"/>
        <v>1.2286624029299984</v>
      </c>
      <c r="U22" s="37">
        <f t="shared" si="11"/>
        <v>0.22795220833580673</v>
      </c>
      <c r="V22" s="5" t="str">
        <f t="shared" si="12"/>
        <v>Infinite</v>
      </c>
      <c r="W22">
        <f t="shared" si="13"/>
        <v>0</v>
      </c>
    </row>
    <row r="23" spans="1:23" x14ac:dyDescent="0.35">
      <c r="A23" t="s">
        <v>39</v>
      </c>
      <c r="B23">
        <v>150</v>
      </c>
      <c r="C23" s="32">
        <v>7.0000000000000007E-2</v>
      </c>
      <c r="D23" s="5">
        <f t="shared" si="6"/>
        <v>194036.75900000002</v>
      </c>
      <c r="E23" s="11">
        <f t="shared" si="4"/>
        <v>1.1737688871655725</v>
      </c>
      <c r="F23" s="37">
        <f t="shared" si="7"/>
        <v>0.21776788259101529</v>
      </c>
      <c r="G23" s="5" t="str">
        <f t="shared" si="8"/>
        <v>Infinite</v>
      </c>
      <c r="H23">
        <f t="shared" si="9"/>
        <v>0</v>
      </c>
      <c r="P23" t="s">
        <v>39</v>
      </c>
      <c r="Q23">
        <v>150</v>
      </c>
      <c r="R23" s="32">
        <v>0.01</v>
      </c>
      <c r="S23" s="5">
        <f t="shared" si="10"/>
        <v>27719.537000000004</v>
      </c>
      <c r="T23" s="11">
        <f t="shared" si="5"/>
        <v>1.1737688871655725</v>
      </c>
      <c r="U23" s="37">
        <f t="shared" si="11"/>
        <v>0.21776788259101529</v>
      </c>
      <c r="V23" s="5" t="str">
        <f t="shared" si="12"/>
        <v>Infinite</v>
      </c>
      <c r="W23">
        <f t="shared" si="13"/>
        <v>0</v>
      </c>
    </row>
    <row r="24" spans="1:23" x14ac:dyDescent="0.35">
      <c r="A24" t="s">
        <v>40</v>
      </c>
      <c r="B24">
        <v>140</v>
      </c>
      <c r="C24" s="32">
        <v>1.6199999999999999E-2</v>
      </c>
      <c r="D24" s="5">
        <f t="shared" si="6"/>
        <v>44905.649940000003</v>
      </c>
      <c r="E24" s="11">
        <f t="shared" si="4"/>
        <v>1.1188753714011468</v>
      </c>
      <c r="F24" s="37">
        <f t="shared" si="7"/>
        <v>0.20758355684622387</v>
      </c>
      <c r="G24" s="5" t="str">
        <f t="shared" si="8"/>
        <v>Infinite</v>
      </c>
      <c r="H24">
        <f t="shared" si="9"/>
        <v>0</v>
      </c>
      <c r="P24" t="s">
        <v>40</v>
      </c>
      <c r="Q24">
        <v>140</v>
      </c>
      <c r="R24" s="32">
        <v>1.6199999999999999E-2</v>
      </c>
      <c r="S24" s="5">
        <f t="shared" si="10"/>
        <v>44905.649940000003</v>
      </c>
      <c r="T24" s="11">
        <f t="shared" si="5"/>
        <v>1.1188753714011468</v>
      </c>
      <c r="U24" s="37">
        <f t="shared" si="11"/>
        <v>0.20758355684622387</v>
      </c>
      <c r="V24" s="5" t="str">
        <f t="shared" si="12"/>
        <v>Infinite</v>
      </c>
      <c r="W24">
        <f t="shared" si="13"/>
        <v>0</v>
      </c>
    </row>
    <row r="25" spans="1:23" x14ac:dyDescent="0.35">
      <c r="A25" t="s">
        <v>41</v>
      </c>
      <c r="B25">
        <v>130</v>
      </c>
      <c r="C25" s="32">
        <v>2.6200000000000001E-2</v>
      </c>
      <c r="D25" s="5">
        <f t="shared" si="6"/>
        <v>72625.186940000014</v>
      </c>
      <c r="E25" s="11">
        <f t="shared" si="4"/>
        <v>1.0639818556367207</v>
      </c>
      <c r="F25" s="37">
        <f t="shared" si="7"/>
        <v>0.19739923110143237</v>
      </c>
      <c r="G25" s="5" t="str">
        <f t="shared" si="8"/>
        <v>Infinite</v>
      </c>
      <c r="H25">
        <f t="shared" si="9"/>
        <v>0</v>
      </c>
      <c r="P25" t="s">
        <v>41</v>
      </c>
      <c r="Q25">
        <v>130</v>
      </c>
      <c r="R25" s="32">
        <v>2.6200000000000001E-2</v>
      </c>
      <c r="S25" s="5">
        <f t="shared" si="10"/>
        <v>72625.186940000014</v>
      </c>
      <c r="T25" s="11">
        <f t="shared" si="5"/>
        <v>1.0639818556367207</v>
      </c>
      <c r="U25" s="37">
        <f t="shared" si="11"/>
        <v>0.19739923110143237</v>
      </c>
      <c r="V25" s="5" t="str">
        <f t="shared" si="12"/>
        <v>Infinite</v>
      </c>
      <c r="W25">
        <f t="shared" si="13"/>
        <v>0</v>
      </c>
    </row>
    <row r="26" spans="1:23" x14ac:dyDescent="0.35">
      <c r="A26" t="s">
        <v>42</v>
      </c>
      <c r="B26">
        <v>120</v>
      </c>
      <c r="C26" s="32">
        <v>2.6499999999999999E-2</v>
      </c>
      <c r="D26" s="5">
        <f t="shared" si="6"/>
        <v>73456.773050000003</v>
      </c>
      <c r="E26" s="11">
        <f t="shared" si="4"/>
        <v>1.0090883398722947</v>
      </c>
      <c r="F26" s="37">
        <f t="shared" si="7"/>
        <v>0.18721490535664093</v>
      </c>
      <c r="G26" s="5" t="str">
        <f t="shared" si="8"/>
        <v>Infinite</v>
      </c>
      <c r="H26">
        <f t="shared" si="9"/>
        <v>0</v>
      </c>
      <c r="P26" t="s">
        <v>42</v>
      </c>
      <c r="Q26">
        <v>120</v>
      </c>
      <c r="R26" s="32">
        <v>2.6499999999999999E-2</v>
      </c>
      <c r="S26" s="5">
        <f t="shared" si="10"/>
        <v>73456.773050000003</v>
      </c>
      <c r="T26" s="11">
        <f t="shared" si="5"/>
        <v>1.0090883398722947</v>
      </c>
      <c r="U26" s="37">
        <f t="shared" si="11"/>
        <v>0.18721490535664093</v>
      </c>
      <c r="V26" s="5" t="str">
        <f t="shared" si="12"/>
        <v>Infinite</v>
      </c>
      <c r="W26">
        <f t="shared" si="13"/>
        <v>0</v>
      </c>
    </row>
    <row r="27" spans="1:23" x14ac:dyDescent="0.35">
      <c r="A27" t="s">
        <v>43</v>
      </c>
      <c r="B27">
        <v>110</v>
      </c>
      <c r="C27" s="32">
        <v>2.6499999999999999E-2</v>
      </c>
      <c r="D27" s="5">
        <f t="shared" si="6"/>
        <v>73456.773050000003</v>
      </c>
      <c r="E27" s="11">
        <f t="shared" si="4"/>
        <v>0.95419482410786882</v>
      </c>
      <c r="F27" s="37">
        <f t="shared" si="7"/>
        <v>0.17703057961184948</v>
      </c>
      <c r="G27" s="5" t="str">
        <f t="shared" si="8"/>
        <v>Infinite</v>
      </c>
      <c r="H27">
        <f t="shared" si="9"/>
        <v>0</v>
      </c>
      <c r="P27" t="s">
        <v>43</v>
      </c>
      <c r="Q27">
        <v>110</v>
      </c>
      <c r="R27" s="32">
        <v>2.6499999999999999E-2</v>
      </c>
      <c r="S27" s="5">
        <f t="shared" si="10"/>
        <v>73456.773050000003</v>
      </c>
      <c r="T27" s="11">
        <f t="shared" si="5"/>
        <v>0.95419482410786882</v>
      </c>
      <c r="U27" s="37">
        <f t="shared" si="11"/>
        <v>0.17703057961184948</v>
      </c>
      <c r="V27" s="5" t="str">
        <f t="shared" si="12"/>
        <v>Infinite</v>
      </c>
      <c r="W27">
        <f t="shared" si="13"/>
        <v>0</v>
      </c>
    </row>
    <row r="28" spans="1:23" x14ac:dyDescent="0.35">
      <c r="A28" t="s">
        <v>44</v>
      </c>
      <c r="B28">
        <v>100</v>
      </c>
      <c r="C28" s="32">
        <v>3.2500000000000001E-2</v>
      </c>
      <c r="D28" s="5">
        <f t="shared" si="6"/>
        <v>90088.495250000007</v>
      </c>
      <c r="E28" s="11">
        <f t="shared" si="4"/>
        <v>0.89930130834344291</v>
      </c>
      <c r="F28" s="37">
        <f t="shared" si="7"/>
        <v>0.16684625386705804</v>
      </c>
      <c r="G28" s="5" t="str">
        <f t="shared" si="8"/>
        <v>Infinite</v>
      </c>
      <c r="H28">
        <f t="shared" si="9"/>
        <v>0</v>
      </c>
      <c r="P28" t="s">
        <v>44</v>
      </c>
      <c r="Q28">
        <v>100</v>
      </c>
      <c r="R28" s="32">
        <v>3.2500000000000001E-2</v>
      </c>
      <c r="S28" s="5">
        <f t="shared" si="10"/>
        <v>90088.495250000007</v>
      </c>
      <c r="T28" s="11">
        <f t="shared" si="5"/>
        <v>0.89930130834344291</v>
      </c>
      <c r="U28" s="37">
        <f t="shared" si="11"/>
        <v>0.16684625386705804</v>
      </c>
      <c r="V28" s="5" t="str">
        <f t="shared" si="12"/>
        <v>Infinite</v>
      </c>
      <c r="W28">
        <f t="shared" si="13"/>
        <v>0</v>
      </c>
    </row>
    <row r="29" spans="1:23" x14ac:dyDescent="0.35">
      <c r="A29" t="s">
        <v>45</v>
      </c>
      <c r="B29">
        <v>90</v>
      </c>
      <c r="C29" s="32">
        <v>3.2500000000000001E-2</v>
      </c>
      <c r="D29" s="5">
        <f t="shared" si="6"/>
        <v>90088.495250000007</v>
      </c>
      <c r="E29" s="11">
        <f t="shared" ref="E29:E30" si="14" xml:space="preserve"> IF(B16&lt; 80, 0.008-6.12*($B$8*($B$11)^2/($B$5*($B$12)^2))+2.36*(B29*$B$11/($B$5*($B$12)^4))+0.02677*$B$9, IF(B16&lt;150,0.08-9.69*($B$8*($B$11)^2/($B$5*($B$12)^2))+2.09*(B29*$B$11/($B$5*($B$12)^4))+0.0409*$B$9,IF(B16&gt;150, 0.042+3.26*($B$8*($B$11)^2/($B$5*($B$12)^2))+1.62*(B29*$B$11/($B$5*($B$12)^4))+0.0522*$B$9, "Do")))</f>
        <v>0.84440779257901699</v>
      </c>
      <c r="F29" s="37">
        <f t="shared" si="7"/>
        <v>0.15666192812226659</v>
      </c>
      <c r="G29" s="5" t="str">
        <f t="shared" si="8"/>
        <v>Infinite</v>
      </c>
      <c r="H29">
        <f t="shared" si="9"/>
        <v>0</v>
      </c>
      <c r="P29" t="s">
        <v>45</v>
      </c>
      <c r="Q29">
        <v>90</v>
      </c>
      <c r="R29" s="32">
        <v>3.2500000000000001E-2</v>
      </c>
      <c r="S29" s="5">
        <f t="shared" si="10"/>
        <v>90088.495250000007</v>
      </c>
      <c r="T29" s="11">
        <f t="shared" ref="T29:T30" si="15" xml:space="preserve"> IF(Q16&lt; 80, 0.008-6.12*($B$8*($B$11)^2/($B$5*($B$12)^2))+2.36*(Q29*$B$11/($B$5*($B$12)^4))+0.02677*$B$9, IF(Q16&lt;150,0.08-9.69*($B$8*($B$11)^2/($B$5*($B$12)^2))+2.09*(Q29*$B$11/($B$5*($B$12)^4))+0.0409*$B$9,IF(Q16&gt;150, 0.042+3.26*($B$8*($B$11)^2/($B$5*($B$12)^2))+1.62*(Q29*$B$11/($B$5*($B$12)^4))+0.0522*$B$9, "Do")))</f>
        <v>0.84440779257901699</v>
      </c>
      <c r="U29" s="37">
        <f t="shared" si="11"/>
        <v>0.15666192812226659</v>
      </c>
      <c r="V29" s="5" t="str">
        <f t="shared" si="12"/>
        <v>Infinite</v>
      </c>
      <c r="W29">
        <f t="shared" si="13"/>
        <v>0</v>
      </c>
    </row>
    <row r="30" spans="1:23" x14ac:dyDescent="0.35">
      <c r="A30" t="s">
        <v>46</v>
      </c>
      <c r="B30">
        <v>85</v>
      </c>
      <c r="C30" s="32">
        <v>0.1013</v>
      </c>
      <c r="D30" s="5">
        <f t="shared" si="6"/>
        <v>280798.90981000004</v>
      </c>
      <c r="E30" s="11">
        <f t="shared" si="14"/>
        <v>0.81696103469680414</v>
      </c>
      <c r="F30" s="37">
        <f t="shared" si="7"/>
        <v>0.15156976524987087</v>
      </c>
      <c r="G30" s="5" t="str">
        <f t="shared" si="8"/>
        <v>Infinite</v>
      </c>
      <c r="H30">
        <f t="shared" si="9"/>
        <v>0</v>
      </c>
      <c r="P30" t="s">
        <v>46</v>
      </c>
      <c r="Q30">
        <v>85</v>
      </c>
      <c r="R30" s="32">
        <v>0.1613</v>
      </c>
      <c r="S30" s="5">
        <f t="shared" si="10"/>
        <v>447116.13181000005</v>
      </c>
      <c r="T30" s="11">
        <f t="shared" si="15"/>
        <v>0.81696103469680414</v>
      </c>
      <c r="U30" s="37">
        <f t="shared" si="11"/>
        <v>0.15156976524987087</v>
      </c>
      <c r="V30" s="5" t="str">
        <f t="shared" si="12"/>
        <v>Infinite</v>
      </c>
      <c r="W30">
        <f t="shared" si="13"/>
        <v>0</v>
      </c>
    </row>
    <row r="31" spans="1:23" x14ac:dyDescent="0.35">
      <c r="A31" t="s">
        <v>84</v>
      </c>
      <c r="B31" s="5">
        <f xml:space="preserve"> SUM(D19,D20,D21,D22,D23,D24,D25,D26,D27,D28,D29,D30)</f>
        <v>2771953.7</v>
      </c>
      <c r="C31" s="41" t="s">
        <v>85</v>
      </c>
      <c r="D31" s="41"/>
      <c r="E31" s="41"/>
      <c r="F31" s="41"/>
      <c r="G31" s="41"/>
      <c r="H31">
        <f xml:space="preserve"> SUM(H19,H20,H21,H22,H23,H24,H25,H26,H27,H28,H29,H30)</f>
        <v>0</v>
      </c>
      <c r="P31" t="s">
        <v>84</v>
      </c>
      <c r="Q31" s="5">
        <f xml:space="preserve"> SUM(S19,S20,S21,S22,S23,S24,S25,S26,S27,S28,S29,S30)</f>
        <v>2771953.7</v>
      </c>
      <c r="R31" s="41" t="s">
        <v>85</v>
      </c>
      <c r="S31" s="41"/>
      <c r="T31" s="41"/>
      <c r="U31" s="41"/>
      <c r="V31" s="41"/>
      <c r="W31">
        <f xml:space="preserve"> SUM(W19,W20,W21,W22,W23,W24,W25,W26,W27,W28,W29,W30)</f>
        <v>0</v>
      </c>
    </row>
    <row r="32" spans="1:23" x14ac:dyDescent="0.35">
      <c r="A32" s="41" t="s">
        <v>71</v>
      </c>
      <c r="B32" s="41"/>
      <c r="C32" s="41"/>
      <c r="D32" s="41"/>
      <c r="E32" s="41"/>
      <c r="F32" s="41"/>
      <c r="G32" s="41"/>
      <c r="H32" s="41"/>
      <c r="P32" s="41" t="s">
        <v>71</v>
      </c>
      <c r="Q32" s="41"/>
      <c r="R32" s="41"/>
      <c r="S32" s="41"/>
      <c r="T32" s="41"/>
      <c r="U32" s="41"/>
      <c r="V32" s="41"/>
      <c r="W32" s="41"/>
    </row>
    <row r="33" spans="1:23" ht="58" x14ac:dyDescent="0.35">
      <c r="A33" t="s">
        <v>47</v>
      </c>
      <c r="B33" t="s">
        <v>48</v>
      </c>
      <c r="C33" s="36" t="s">
        <v>49</v>
      </c>
      <c r="D33" s="36" t="s">
        <v>53</v>
      </c>
      <c r="E33" s="36" t="s">
        <v>54</v>
      </c>
      <c r="F33" s="36" t="s">
        <v>67</v>
      </c>
      <c r="G33" s="36" t="s">
        <v>68</v>
      </c>
      <c r="H33" s="36" t="s">
        <v>69</v>
      </c>
      <c r="P33" t="s">
        <v>47</v>
      </c>
      <c r="Q33" t="s">
        <v>48</v>
      </c>
      <c r="R33" s="36" t="s">
        <v>49</v>
      </c>
      <c r="S33" s="36" t="s">
        <v>53</v>
      </c>
      <c r="T33" s="36" t="s">
        <v>54</v>
      </c>
      <c r="U33" s="36" t="s">
        <v>67</v>
      </c>
      <c r="V33" s="36" t="s">
        <v>68</v>
      </c>
      <c r="W33" s="36" t="s">
        <v>69</v>
      </c>
    </row>
    <row r="34" spans="1:23" x14ac:dyDescent="0.35">
      <c r="A34" t="s">
        <v>72</v>
      </c>
      <c r="B34">
        <v>390</v>
      </c>
      <c r="C34" s="32">
        <v>0.14499999999999999</v>
      </c>
      <c r="D34" s="5">
        <f xml:space="preserve"> $F$6*C34</f>
        <v>496505.82449999999</v>
      </c>
      <c r="E34" s="11">
        <f xml:space="preserve"> IF($B$5&lt; 80, -0.188+0.93*($B$8*($B$11)^2/($B$5*($B$12)^2))+1.025*(B34*$B$11/($B$5*($B$12)^4))+0.0207*$B$9, IF($B$5 &lt;150,-0.174+1.21*($B$8*($B$11)^2/($B$5*($B$12)^2))+0.87*(B34*$B$11/($B$5*($B$12)^4))+0.0364*$B$9,IF($B$5 &gt;150, -0.21+3.88*($B$8*($B$11)^2/($B$5*($B$12)^2))+0.73*(B34*$B$11/($B$5*($B$12)^4))+0.0506*$B$9, "Do")))</f>
        <v>1.3703622647484308</v>
      </c>
      <c r="F34" s="37">
        <f xml:space="preserve"> E34/($B$13*1.1)</f>
        <v>0.25424160756000569</v>
      </c>
      <c r="G34" s="5" t="str">
        <f xml:space="preserve"> IF(F34&lt;0.45, "Infinite", IF(F34&lt;0.55, (4.2577/(F34-0.4325))^3.268, "DO"))</f>
        <v>Infinite</v>
      </c>
      <c r="H34">
        <f xml:space="preserve"> IF(G34= "Infinite",0, D34/G34)</f>
        <v>0</v>
      </c>
      <c r="P34" t="s">
        <v>72</v>
      </c>
      <c r="Q34">
        <v>390</v>
      </c>
      <c r="R34" s="32">
        <v>0.14499999999999999</v>
      </c>
      <c r="S34" s="5">
        <f xml:space="preserve"> $F$6*R34</f>
        <v>496505.82449999999</v>
      </c>
      <c r="T34" s="11">
        <f xml:space="preserve"> IF($B$5&lt; 80, -0.188+0.93*($B$8*($B$11)^2/($B$5*($B$12)^2))+1.025*(Q34*$B$11/($B$5*($B$12)^4))+0.0207*$B$9, IF($B$5 &lt;150,-0.174+1.21*($B$8*($B$11)^2/($B$5*($B$12)^2))+0.87*(Q34*$B$11/($B$5*($B$12)^4))+0.0364*$B$9,IF($B$5 &gt;150, -0.21+3.88*($B$8*($B$11)^2/($B$5*($B$12)^2))+0.73*(Q34*$B$11/($B$5*($B$12)^4))+0.0506*$B$9, "Do")))</f>
        <v>1.3703622647484308</v>
      </c>
      <c r="U34" s="37">
        <f xml:space="preserve"> T34/($B$13*1.1)</f>
        <v>0.25424160756000569</v>
      </c>
      <c r="V34" s="5" t="str">
        <f xml:space="preserve"> IF(U34&lt;0.45, "Infinite", IF(U34&lt;0.55, (4.2577/(U34-0.4325))^3.268, "DO"))</f>
        <v>Infinite</v>
      </c>
      <c r="W34">
        <f xml:space="preserve"> IF(V34= "Infinite",0, S34/V34)</f>
        <v>0</v>
      </c>
    </row>
    <row r="35" spans="1:23" x14ac:dyDescent="0.35">
      <c r="A35" t="s">
        <v>73</v>
      </c>
      <c r="B35">
        <v>370</v>
      </c>
      <c r="C35" s="32">
        <v>0.105</v>
      </c>
      <c r="D35" s="5">
        <f t="shared" ref="D35:D45" si="16" xml:space="preserve"> $F$6*C35</f>
        <v>359538.70049999998</v>
      </c>
      <c r="E35" s="11">
        <f t="shared" ref="E35:E45" si="17" xml:space="preserve"> IF($B$5&lt; 80, -0.188+0.93*($B$8*($B$11)^2/($B$5*($B$12)^2))+1.025*(B35*$B$11/($B$5*($B$12)^4))+0.0207*$B$9, IF($B$5 &lt;150,-0.174+1.21*($B$8*($B$11)^2/($B$5*($B$12)^2))+0.87*(B35*$B$11/($B$5*($B$12)^4))+0.0364*$B$9,IF($B$5 &gt;150, -0.21+3.88*($B$8*($B$11)^2/($B$5*($B$12)^2))+0.73*(B35*$B$11/($B$5*($B$12)^4))+0.0506*$B$9, "Do")))</f>
        <v>1.336402716860269</v>
      </c>
      <c r="F35" s="37">
        <f t="shared" ref="F35:F45" si="18" xml:space="preserve"> E35/($B$13*1.1)</f>
        <v>0.24794113485348215</v>
      </c>
      <c r="G35" s="5" t="str">
        <f t="shared" ref="G35:G45" si="19" xml:space="preserve"> IF(F35&lt;0.45, "Infinite", IF(F35&lt;0.55, (4.2577/(F35-0.4325))^3.268, "DO"))</f>
        <v>Infinite</v>
      </c>
      <c r="H35">
        <f t="shared" ref="H35:H45" si="20" xml:space="preserve"> IF(G35= "Infinite",0, D35/G35)</f>
        <v>0</v>
      </c>
      <c r="P35" t="s">
        <v>73</v>
      </c>
      <c r="Q35">
        <v>370</v>
      </c>
      <c r="R35" s="32">
        <v>0.105</v>
      </c>
      <c r="S35" s="5">
        <f t="shared" ref="S35:S45" si="21" xml:space="preserve"> $F$6*R35</f>
        <v>359538.70049999998</v>
      </c>
      <c r="T35" s="11">
        <f t="shared" ref="T35:T45" si="22" xml:space="preserve"> IF($B$5&lt; 80, -0.188+0.93*($B$8*($B$11)^2/($B$5*($B$12)^2))+1.025*(Q35*$B$11/($B$5*($B$12)^4))+0.0207*$B$9, IF($B$5 &lt;150,-0.174+1.21*($B$8*($B$11)^2/($B$5*($B$12)^2))+0.87*(Q35*$B$11/($B$5*($B$12)^4))+0.0364*$B$9,IF($B$5 &gt;150, -0.21+3.88*($B$8*($B$11)^2/($B$5*($B$12)^2))+0.73*(Q35*$B$11/($B$5*($B$12)^4))+0.0506*$B$9, "Do")))</f>
        <v>1.336402716860269</v>
      </c>
      <c r="U35" s="37">
        <f t="shared" ref="U35:U45" si="23" xml:space="preserve"> T35/($B$13*1.1)</f>
        <v>0.24794113485348215</v>
      </c>
      <c r="V35" s="5" t="str">
        <f t="shared" ref="V35:V45" si="24" xml:space="preserve"> IF(U35&lt;0.45, "Infinite", IF(U35&lt;0.55, (4.2577/(U35-0.4325))^3.268, "DO"))</f>
        <v>Infinite</v>
      </c>
      <c r="W35">
        <f t="shared" ref="W35:W45" si="25" xml:space="preserve"> IF(V35= "Infinite",0, S35/V35)</f>
        <v>0</v>
      </c>
    </row>
    <row r="36" spans="1:23" x14ac:dyDescent="0.35">
      <c r="A36" t="s">
        <v>74</v>
      </c>
      <c r="B36">
        <v>350</v>
      </c>
      <c r="C36" s="32">
        <v>7.0000000000000007E-2</v>
      </c>
      <c r="D36" s="5">
        <f t="shared" si="16"/>
        <v>239692.46700000003</v>
      </c>
      <c r="E36" s="11">
        <f t="shared" si="17"/>
        <v>1.3024431689721074</v>
      </c>
      <c r="F36" s="37">
        <f t="shared" si="18"/>
        <v>0.24164066214695867</v>
      </c>
      <c r="G36" s="5" t="str">
        <f t="shared" si="19"/>
        <v>Infinite</v>
      </c>
      <c r="H36">
        <f t="shared" si="20"/>
        <v>0</v>
      </c>
      <c r="P36" t="s">
        <v>74</v>
      </c>
      <c r="Q36">
        <v>350</v>
      </c>
      <c r="R36" s="32">
        <v>0.01</v>
      </c>
      <c r="S36" s="5">
        <f t="shared" si="21"/>
        <v>34241.781000000003</v>
      </c>
      <c r="T36" s="11">
        <f t="shared" si="22"/>
        <v>1.3024431689721074</v>
      </c>
      <c r="U36" s="37">
        <f t="shared" si="23"/>
        <v>0.24164066214695867</v>
      </c>
      <c r="V36" s="5" t="str">
        <f t="shared" si="24"/>
        <v>Infinite</v>
      </c>
      <c r="W36">
        <f t="shared" si="25"/>
        <v>0</v>
      </c>
    </row>
    <row r="37" spans="1:23" x14ac:dyDescent="0.35">
      <c r="A37" t="s">
        <v>75</v>
      </c>
      <c r="B37">
        <v>330</v>
      </c>
      <c r="C37" s="32">
        <v>2.5000000000000001E-2</v>
      </c>
      <c r="D37" s="5">
        <f t="shared" si="16"/>
        <v>85604.452500000014</v>
      </c>
      <c r="E37" s="11">
        <f t="shared" si="17"/>
        <v>1.2684836210839454</v>
      </c>
      <c r="F37" s="37">
        <f t="shared" si="18"/>
        <v>0.23534018944043511</v>
      </c>
      <c r="G37" s="5" t="str">
        <f t="shared" si="19"/>
        <v>Infinite</v>
      </c>
      <c r="H37">
        <f t="shared" si="20"/>
        <v>0</v>
      </c>
      <c r="P37" t="s">
        <v>75</v>
      </c>
      <c r="Q37">
        <v>330</v>
      </c>
      <c r="R37" s="32">
        <v>2.5000000000000001E-2</v>
      </c>
      <c r="S37" s="5">
        <f t="shared" si="21"/>
        <v>85604.452500000014</v>
      </c>
      <c r="T37" s="11">
        <f t="shared" si="22"/>
        <v>1.2684836210839454</v>
      </c>
      <c r="U37" s="37">
        <f t="shared" si="23"/>
        <v>0.23534018944043511</v>
      </c>
      <c r="V37" s="5" t="str">
        <f t="shared" si="24"/>
        <v>Infinite</v>
      </c>
      <c r="W37">
        <f t="shared" si="25"/>
        <v>0</v>
      </c>
    </row>
    <row r="38" spans="1:23" x14ac:dyDescent="0.35">
      <c r="A38" t="s">
        <v>76</v>
      </c>
      <c r="B38">
        <v>310</v>
      </c>
      <c r="C38" s="32">
        <v>2.69E-2</v>
      </c>
      <c r="D38" s="5">
        <f t="shared" si="16"/>
        <v>92110.39089000001</v>
      </c>
      <c r="E38" s="11">
        <f t="shared" si="17"/>
        <v>1.2345240731957836</v>
      </c>
      <c r="F38" s="37">
        <f t="shared" si="18"/>
        <v>0.2290397167339116</v>
      </c>
      <c r="G38" s="5" t="str">
        <f t="shared" si="19"/>
        <v>Infinite</v>
      </c>
      <c r="H38">
        <f t="shared" si="20"/>
        <v>0</v>
      </c>
      <c r="P38" t="s">
        <v>76</v>
      </c>
      <c r="Q38">
        <v>310</v>
      </c>
      <c r="R38" s="32">
        <v>2.69E-2</v>
      </c>
      <c r="S38" s="5">
        <f t="shared" si="21"/>
        <v>92110.39089000001</v>
      </c>
      <c r="T38" s="11">
        <f t="shared" si="22"/>
        <v>1.2345240731957836</v>
      </c>
      <c r="U38" s="37">
        <f t="shared" si="23"/>
        <v>0.2290397167339116</v>
      </c>
      <c r="V38" s="5" t="str">
        <f t="shared" si="24"/>
        <v>Infinite</v>
      </c>
      <c r="W38">
        <f t="shared" si="25"/>
        <v>0</v>
      </c>
    </row>
    <row r="39" spans="1:23" x14ac:dyDescent="0.35">
      <c r="A39" t="s">
        <v>77</v>
      </c>
      <c r="B39">
        <v>290</v>
      </c>
      <c r="C39" s="32">
        <v>1.26E-2</v>
      </c>
      <c r="D39" s="5">
        <f t="shared" si="16"/>
        <v>43144.644059999999</v>
      </c>
      <c r="E39" s="11">
        <f t="shared" si="17"/>
        <v>1.2005645253076218</v>
      </c>
      <c r="F39" s="37">
        <f t="shared" si="18"/>
        <v>0.22273924402738807</v>
      </c>
      <c r="G39" s="5" t="str">
        <f t="shared" si="19"/>
        <v>Infinite</v>
      </c>
      <c r="H39">
        <f t="shared" si="20"/>
        <v>0</v>
      </c>
      <c r="P39" t="s">
        <v>77</v>
      </c>
      <c r="Q39">
        <v>290</v>
      </c>
      <c r="R39" s="32">
        <v>1.26E-2</v>
      </c>
      <c r="S39" s="5">
        <f t="shared" si="21"/>
        <v>43144.644059999999</v>
      </c>
      <c r="T39" s="11">
        <f t="shared" si="22"/>
        <v>1.2005645253076218</v>
      </c>
      <c r="U39" s="37">
        <f t="shared" si="23"/>
        <v>0.22273924402738807</v>
      </c>
      <c r="V39" s="5" t="str">
        <f t="shared" si="24"/>
        <v>Infinite</v>
      </c>
      <c r="W39">
        <f t="shared" si="25"/>
        <v>0</v>
      </c>
    </row>
    <row r="40" spans="1:23" x14ac:dyDescent="0.35">
      <c r="A40" t="s">
        <v>78</v>
      </c>
      <c r="B40">
        <v>270</v>
      </c>
      <c r="C40" s="32">
        <v>3.9E-2</v>
      </c>
      <c r="D40" s="5">
        <f t="shared" si="16"/>
        <v>133542.94589999999</v>
      </c>
      <c r="E40" s="11">
        <f t="shared" si="17"/>
        <v>1.16660497741946</v>
      </c>
      <c r="F40" s="37">
        <f t="shared" si="18"/>
        <v>0.21643877132086453</v>
      </c>
      <c r="G40" s="5" t="str">
        <f t="shared" si="19"/>
        <v>Infinite</v>
      </c>
      <c r="H40">
        <f t="shared" si="20"/>
        <v>0</v>
      </c>
      <c r="P40" t="s">
        <v>78</v>
      </c>
      <c r="Q40">
        <v>270</v>
      </c>
      <c r="R40" s="32">
        <v>3.9E-2</v>
      </c>
      <c r="S40" s="5">
        <f t="shared" si="21"/>
        <v>133542.94589999999</v>
      </c>
      <c r="T40" s="11">
        <f t="shared" si="22"/>
        <v>1.16660497741946</v>
      </c>
      <c r="U40" s="37">
        <f t="shared" si="23"/>
        <v>0.21643877132086453</v>
      </c>
      <c r="V40" s="5" t="str">
        <f t="shared" si="24"/>
        <v>Infinite</v>
      </c>
      <c r="W40">
        <f t="shared" si="25"/>
        <v>0</v>
      </c>
    </row>
    <row r="41" spans="1:23" x14ac:dyDescent="0.35">
      <c r="A41" t="s">
        <v>79</v>
      </c>
      <c r="B41">
        <v>250</v>
      </c>
      <c r="C41" s="32">
        <v>5.1900000000000002E-2</v>
      </c>
      <c r="D41" s="5">
        <f t="shared" si="16"/>
        <v>177714.84339000002</v>
      </c>
      <c r="E41" s="11">
        <f t="shared" si="17"/>
        <v>1.1326454295312982</v>
      </c>
      <c r="F41" s="37">
        <f t="shared" si="18"/>
        <v>0.21013829861434102</v>
      </c>
      <c r="G41" s="5" t="str">
        <f t="shared" si="19"/>
        <v>Infinite</v>
      </c>
      <c r="H41">
        <f t="shared" si="20"/>
        <v>0</v>
      </c>
      <c r="P41" t="s">
        <v>79</v>
      </c>
      <c r="Q41">
        <v>250</v>
      </c>
      <c r="R41" s="32">
        <v>5.1900000000000002E-2</v>
      </c>
      <c r="S41" s="5">
        <f t="shared" si="21"/>
        <v>177714.84339000002</v>
      </c>
      <c r="T41" s="11">
        <f t="shared" si="22"/>
        <v>1.1326454295312982</v>
      </c>
      <c r="U41" s="37">
        <f t="shared" si="23"/>
        <v>0.21013829861434102</v>
      </c>
      <c r="V41" s="5" t="str">
        <f t="shared" si="24"/>
        <v>Infinite</v>
      </c>
      <c r="W41">
        <f t="shared" si="25"/>
        <v>0</v>
      </c>
    </row>
    <row r="42" spans="1:23" x14ac:dyDescent="0.35">
      <c r="A42" t="s">
        <v>80</v>
      </c>
      <c r="B42">
        <v>230</v>
      </c>
      <c r="C42" s="32">
        <v>6.3E-2</v>
      </c>
      <c r="D42" s="5">
        <f t="shared" si="16"/>
        <v>215723.22030000002</v>
      </c>
      <c r="E42" s="11">
        <f t="shared" si="17"/>
        <v>1.0986858816431364</v>
      </c>
      <c r="F42" s="37">
        <f t="shared" si="18"/>
        <v>0.20383782590781749</v>
      </c>
      <c r="G42" s="5" t="str">
        <f t="shared" si="19"/>
        <v>Infinite</v>
      </c>
      <c r="H42">
        <f t="shared" si="20"/>
        <v>0</v>
      </c>
      <c r="P42" t="s">
        <v>80</v>
      </c>
      <c r="Q42">
        <v>230</v>
      </c>
      <c r="R42" s="32">
        <v>6.3E-2</v>
      </c>
      <c r="S42" s="5">
        <f t="shared" si="21"/>
        <v>215723.22030000002</v>
      </c>
      <c r="T42" s="11">
        <f t="shared" si="22"/>
        <v>1.0986858816431364</v>
      </c>
      <c r="U42" s="37">
        <f t="shared" si="23"/>
        <v>0.20383782590781749</v>
      </c>
      <c r="V42" s="5" t="str">
        <f t="shared" si="24"/>
        <v>Infinite</v>
      </c>
      <c r="W42">
        <f t="shared" si="25"/>
        <v>0</v>
      </c>
    </row>
    <row r="43" spans="1:23" x14ac:dyDescent="0.35">
      <c r="A43" t="s">
        <v>81</v>
      </c>
      <c r="B43">
        <v>210</v>
      </c>
      <c r="C43" s="32">
        <v>6.4000000000000001E-2</v>
      </c>
      <c r="D43" s="5">
        <f t="shared" si="16"/>
        <v>219147.39840000001</v>
      </c>
      <c r="E43" s="11">
        <f t="shared" si="17"/>
        <v>1.0647263337549746</v>
      </c>
      <c r="F43" s="37">
        <f t="shared" si="18"/>
        <v>0.19753735320129398</v>
      </c>
      <c r="G43" s="5" t="str">
        <f t="shared" si="19"/>
        <v>Infinite</v>
      </c>
      <c r="H43">
        <f t="shared" si="20"/>
        <v>0</v>
      </c>
      <c r="P43" t="s">
        <v>81</v>
      </c>
      <c r="Q43">
        <v>210</v>
      </c>
      <c r="R43" s="32">
        <v>6.4000000000000001E-2</v>
      </c>
      <c r="S43" s="5">
        <f t="shared" si="21"/>
        <v>219147.39840000001</v>
      </c>
      <c r="T43" s="11">
        <f t="shared" si="22"/>
        <v>1.0647263337549746</v>
      </c>
      <c r="U43" s="37">
        <f t="shared" si="23"/>
        <v>0.19753735320129398</v>
      </c>
      <c r="V43" s="5" t="str">
        <f t="shared" si="24"/>
        <v>Infinite</v>
      </c>
      <c r="W43">
        <f t="shared" si="25"/>
        <v>0</v>
      </c>
    </row>
    <row r="44" spans="1:23" x14ac:dyDescent="0.35">
      <c r="A44" t="s">
        <v>82</v>
      </c>
      <c r="B44">
        <v>190</v>
      </c>
      <c r="C44" s="32">
        <v>5.5300000000000002E-2</v>
      </c>
      <c r="D44" s="5">
        <f t="shared" si="16"/>
        <v>189357.04893000002</v>
      </c>
      <c r="E44" s="11">
        <f t="shared" si="17"/>
        <v>1.0307667858668128</v>
      </c>
      <c r="F44" s="37">
        <f t="shared" si="18"/>
        <v>0.19123688049477044</v>
      </c>
      <c r="G44" s="5" t="str">
        <f t="shared" si="19"/>
        <v>Infinite</v>
      </c>
      <c r="H44">
        <f t="shared" si="20"/>
        <v>0</v>
      </c>
      <c r="P44" t="s">
        <v>82</v>
      </c>
      <c r="Q44">
        <v>190</v>
      </c>
      <c r="R44" s="32">
        <v>0.1153</v>
      </c>
      <c r="S44" s="5">
        <f t="shared" si="21"/>
        <v>394807.73493000004</v>
      </c>
      <c r="T44" s="11">
        <f t="shared" si="22"/>
        <v>1.0307667858668128</v>
      </c>
      <c r="U44" s="37">
        <f t="shared" si="23"/>
        <v>0.19123688049477044</v>
      </c>
      <c r="V44" s="5" t="str">
        <f t="shared" si="24"/>
        <v>Infinite</v>
      </c>
      <c r="W44">
        <f t="shared" si="25"/>
        <v>0</v>
      </c>
    </row>
    <row r="45" spans="1:23" x14ac:dyDescent="0.35">
      <c r="A45" t="s">
        <v>83</v>
      </c>
      <c r="B45">
        <v>180</v>
      </c>
      <c r="C45" s="32">
        <v>0.34229999999999999</v>
      </c>
      <c r="D45" s="5">
        <f t="shared" si="16"/>
        <v>1172096.1636300001</v>
      </c>
      <c r="E45" s="11">
        <f t="shared" si="17"/>
        <v>1.0137870119227319</v>
      </c>
      <c r="F45" s="37">
        <f t="shared" si="18"/>
        <v>0.18808664414150869</v>
      </c>
      <c r="G45" s="5" t="str">
        <f t="shared" si="19"/>
        <v>Infinite</v>
      </c>
      <c r="H45">
        <f t="shared" si="20"/>
        <v>0</v>
      </c>
      <c r="P45" t="s">
        <v>83</v>
      </c>
      <c r="Q45">
        <v>180</v>
      </c>
      <c r="R45" s="32">
        <v>0.34229999999999999</v>
      </c>
      <c r="S45" s="5">
        <f t="shared" si="21"/>
        <v>1172096.1636300001</v>
      </c>
      <c r="T45" s="11">
        <f t="shared" si="22"/>
        <v>1.0137870119227319</v>
      </c>
      <c r="U45" s="37">
        <f t="shared" si="23"/>
        <v>0.18808664414150869</v>
      </c>
      <c r="V45" s="5" t="str">
        <f t="shared" si="24"/>
        <v>Infinite</v>
      </c>
      <c r="W45">
        <f t="shared" si="25"/>
        <v>0</v>
      </c>
    </row>
    <row r="46" spans="1:23" x14ac:dyDescent="0.35">
      <c r="A46" t="s">
        <v>84</v>
      </c>
      <c r="B46" s="5">
        <f xml:space="preserve"> SUM(D34,D35,D36,D37,D38,D39,D40,D41,D42,D43,D44,D45)</f>
        <v>3424178.0999999996</v>
      </c>
      <c r="C46" s="41" t="s">
        <v>91</v>
      </c>
      <c r="D46" s="41"/>
      <c r="E46" s="41"/>
      <c r="F46" s="41"/>
      <c r="G46" s="41"/>
      <c r="H46">
        <v>0</v>
      </c>
      <c r="P46" t="s">
        <v>84</v>
      </c>
      <c r="Q46" s="5">
        <f xml:space="preserve"> SUM(S34,S35,S36,S37,S38,S39,S40,S41,S42,S43,S44,S45)</f>
        <v>3424178.1000000006</v>
      </c>
      <c r="R46" s="41" t="s">
        <v>91</v>
      </c>
      <c r="S46" s="41"/>
      <c r="T46" s="41"/>
      <c r="U46" s="41"/>
      <c r="V46" s="41"/>
      <c r="W46">
        <v>0</v>
      </c>
    </row>
    <row r="47" spans="1:23" x14ac:dyDescent="0.35">
      <c r="A47" s="41"/>
      <c r="B47" s="41"/>
      <c r="C47" s="41"/>
      <c r="D47" s="41"/>
      <c r="E47" s="41"/>
      <c r="F47" s="41"/>
      <c r="G47" s="41"/>
      <c r="H47" s="41"/>
      <c r="P47" s="41"/>
      <c r="Q47" s="41"/>
      <c r="R47" s="41"/>
      <c r="S47" s="41"/>
      <c r="T47" s="41"/>
      <c r="U47" s="41"/>
      <c r="V47" s="41"/>
      <c r="W47" s="41"/>
    </row>
    <row r="48" spans="1:23" x14ac:dyDescent="0.35">
      <c r="A48" t="s">
        <v>86</v>
      </c>
      <c r="B48">
        <f xml:space="preserve"> H31+H46</f>
        <v>0</v>
      </c>
      <c r="C48" s="36"/>
      <c r="D48" s="36"/>
      <c r="E48" s="36"/>
      <c r="F48" s="36"/>
      <c r="G48" s="36"/>
      <c r="H48" s="36"/>
      <c r="P48" t="s">
        <v>86</v>
      </c>
      <c r="Q48">
        <f xml:space="preserve"> W31+W46</f>
        <v>0</v>
      </c>
      <c r="R48" s="36"/>
      <c r="S48" s="36"/>
      <c r="T48" s="36"/>
      <c r="U48" s="36"/>
      <c r="V48" s="36"/>
      <c r="W48" s="36"/>
    </row>
    <row r="49" spans="1:25" x14ac:dyDescent="0.35">
      <c r="C49" s="32"/>
      <c r="D49" s="5"/>
      <c r="E49" s="11"/>
      <c r="F49" s="37"/>
      <c r="G49" s="5"/>
      <c r="R49" s="32"/>
      <c r="S49" s="5"/>
      <c r="T49" s="11"/>
      <c r="U49" s="37"/>
      <c r="V49" s="5"/>
    </row>
    <row r="50" spans="1:25" x14ac:dyDescent="0.35">
      <c r="A50" s="42" t="s">
        <v>87</v>
      </c>
      <c r="B50" s="42"/>
      <c r="C50" s="42"/>
      <c r="D50" s="42"/>
      <c r="E50" s="42"/>
      <c r="F50" s="42"/>
      <c r="G50" s="42"/>
      <c r="H50" s="42"/>
      <c r="I50" s="42"/>
      <c r="J50" s="42"/>
      <c r="K50" s="43"/>
      <c r="L50" s="43"/>
      <c r="M50" s="43"/>
      <c r="N50" s="43"/>
      <c r="O50" s="43"/>
      <c r="P50" s="42" t="s">
        <v>87</v>
      </c>
      <c r="Q50" s="42"/>
      <c r="R50" s="42"/>
      <c r="S50" s="42"/>
      <c r="T50" s="42"/>
      <c r="U50" s="42"/>
      <c r="V50" s="42"/>
      <c r="W50" s="42"/>
      <c r="X50" s="42"/>
      <c r="Y50" s="42"/>
    </row>
    <row r="51" spans="1:25" x14ac:dyDescent="0.35">
      <c r="A51" s="41" t="s">
        <v>34</v>
      </c>
      <c r="B51" s="41"/>
      <c r="C51" s="41"/>
      <c r="D51" s="41"/>
      <c r="E51" s="41"/>
      <c r="F51" s="41"/>
      <c r="G51" s="41"/>
      <c r="H51" s="41"/>
      <c r="I51" s="36"/>
      <c r="J51" s="36"/>
      <c r="K51" s="36"/>
      <c r="L51" s="36"/>
      <c r="M51" s="36"/>
      <c r="N51" s="36"/>
      <c r="O51" s="36"/>
      <c r="P51" s="41" t="s">
        <v>34</v>
      </c>
      <c r="Q51" s="41"/>
      <c r="R51" s="41"/>
      <c r="S51" s="41"/>
      <c r="T51" s="41"/>
      <c r="U51" s="41"/>
      <c r="V51" s="41"/>
      <c r="W51" s="41"/>
      <c r="X51" s="36"/>
      <c r="Y51" s="36"/>
    </row>
    <row r="52" spans="1:25" ht="58" x14ac:dyDescent="0.35">
      <c r="A52" t="s">
        <v>47</v>
      </c>
      <c r="B52" t="s">
        <v>48</v>
      </c>
      <c r="C52" s="36" t="s">
        <v>49</v>
      </c>
      <c r="D52" s="36" t="s">
        <v>53</v>
      </c>
      <c r="E52" s="36" t="s">
        <v>54</v>
      </c>
      <c r="F52" s="36" t="s">
        <v>67</v>
      </c>
      <c r="G52" s="36" t="s">
        <v>68</v>
      </c>
      <c r="H52" s="36" t="s">
        <v>69</v>
      </c>
      <c r="P52" t="s">
        <v>47</v>
      </c>
      <c r="Q52" t="s">
        <v>48</v>
      </c>
      <c r="R52" s="36" t="s">
        <v>49</v>
      </c>
      <c r="S52" s="36" t="s">
        <v>53</v>
      </c>
      <c r="T52" s="36" t="s">
        <v>54</v>
      </c>
      <c r="U52" s="36" t="s">
        <v>67</v>
      </c>
      <c r="V52" s="36" t="s">
        <v>68</v>
      </c>
      <c r="W52" s="36" t="s">
        <v>69</v>
      </c>
    </row>
    <row r="53" spans="1:25" x14ac:dyDescent="0.35">
      <c r="A53" t="s">
        <v>35</v>
      </c>
      <c r="B53">
        <v>190</v>
      </c>
      <c r="C53" s="32">
        <v>0.18149999999999999</v>
      </c>
      <c r="D53" s="5">
        <f xml:space="preserve"> $G$5*C53</f>
        <v>276710.29353000002</v>
      </c>
      <c r="E53" s="11">
        <f>-0.219+168.48*($B$11)^2/($B$5*($B$12)^2)+1.686*($B$14*B53*$B$11)/($B$5*($B$12)^4)+ 0.1089*$B$10</f>
        <v>1.8551919327835709</v>
      </c>
      <c r="F53" s="37">
        <f xml:space="preserve"> E53/($B$13*1.1)</f>
        <v>0.34419145320659938</v>
      </c>
      <c r="G53" s="5" t="str">
        <f xml:space="preserve"> IF(F53&lt;0.45, "Infinite", IF(F53&lt;0.55, (4.2577/(F53-0.4325))^3.268, "DO"))</f>
        <v>Infinite</v>
      </c>
      <c r="H53">
        <f xml:space="preserve"> IF(G53= "Infinite",0, D53/G53)</f>
        <v>0</v>
      </c>
      <c r="P53" t="s">
        <v>35</v>
      </c>
      <c r="Q53">
        <v>190</v>
      </c>
      <c r="R53" s="32">
        <v>0.18149999999999999</v>
      </c>
      <c r="S53" s="5">
        <f xml:space="preserve"> $G$5*R53</f>
        <v>276710.29353000002</v>
      </c>
      <c r="T53" s="11">
        <f>-0.219+168.48*($B$11)^2/($B$5*($B$12)^2)+1.686*($B$14*Q53*$B$11)/($B$5*($B$12)^4)+ 0.1089*$B$10</f>
        <v>1.8551919327835709</v>
      </c>
      <c r="U53" s="37">
        <f xml:space="preserve"> T53/($B$13*1.1)</f>
        <v>0.34419145320659938</v>
      </c>
      <c r="V53" s="5" t="str">
        <f xml:space="preserve"> IF(U53&lt;0.45, "Infinite", IF(U53&lt;0.55, (4.2577/(U53-0.4325))^3.268, "DO"))</f>
        <v>Infinite</v>
      </c>
      <c r="W53">
        <f xml:space="preserve"> IF(V53= "Infinite",0, S53/V53)</f>
        <v>0</v>
      </c>
    </row>
    <row r="54" spans="1:25" x14ac:dyDescent="0.35">
      <c r="A54" t="s">
        <v>36</v>
      </c>
      <c r="B54">
        <v>180</v>
      </c>
      <c r="C54" s="32">
        <v>0.17430000000000001</v>
      </c>
      <c r="D54" s="5">
        <f t="shared" ref="D54:D64" si="26" xml:space="preserve"> $G$5*C54</f>
        <v>265733.35626600002</v>
      </c>
      <c r="E54" s="11">
        <f t="shared" ref="E54:E64" si="27">-0.219+168.48*($B$11)^2/($B$5*($B$12)^2)+1.686*($B$14*B54*$B$11)/($B$5*($B$12)^4)+ 0.1089*$B$10</f>
        <v>1.8293091749013579</v>
      </c>
      <c r="F54" s="37">
        <f t="shared" ref="F54:F64" si="28" xml:space="preserve"> E54/($B$13*1.1)</f>
        <v>0.33938945731008491</v>
      </c>
      <c r="G54" s="5" t="str">
        <f t="shared" ref="G54:G64" si="29" xml:space="preserve"> IF(F54&lt;0.45, "Infinite", IF(F54&lt;0.55, (4.2577/(F54-0.4325))^3.268, "DO"))</f>
        <v>Infinite</v>
      </c>
      <c r="H54">
        <f t="shared" ref="H54:H64" si="30" xml:space="preserve"> IF(G54= "Infinite",0, D54/G54)</f>
        <v>0</v>
      </c>
      <c r="P54" t="s">
        <v>36</v>
      </c>
      <c r="Q54">
        <v>180</v>
      </c>
      <c r="R54" s="32">
        <v>0.17430000000000001</v>
      </c>
      <c r="S54" s="5">
        <f t="shared" ref="S54:S64" si="31" xml:space="preserve"> $G$5*R54</f>
        <v>265733.35626600002</v>
      </c>
      <c r="T54" s="11">
        <f t="shared" ref="T54:T64" si="32">-0.219+168.48*($B$11)^2/($B$5*($B$12)^2)+1.686*($B$14*Q54*$B$11)/($B$5*($B$12)^4)+ 0.1089*$B$10</f>
        <v>1.8293091749013579</v>
      </c>
      <c r="U54" s="37">
        <f t="shared" ref="U54:U64" si="33" xml:space="preserve"> T54/($B$13*1.1)</f>
        <v>0.33938945731008491</v>
      </c>
      <c r="V54" s="5" t="str">
        <f t="shared" ref="V54:V64" si="34" xml:space="preserve"> IF(U54&lt;0.45, "Infinite", IF(U54&lt;0.55, (4.2577/(U54-0.4325))^3.268, "DO"))</f>
        <v>Infinite</v>
      </c>
      <c r="W54">
        <f t="shared" ref="W54:W64" si="35" xml:space="preserve"> IF(V54= "Infinite",0, S54/V54)</f>
        <v>0</v>
      </c>
    </row>
    <row r="55" spans="1:25" x14ac:dyDescent="0.35">
      <c r="A55" t="s">
        <v>37</v>
      </c>
      <c r="B55">
        <v>170</v>
      </c>
      <c r="C55" s="32">
        <v>0.1827</v>
      </c>
      <c r="D55" s="5">
        <f t="shared" si="26"/>
        <v>278539.78307400004</v>
      </c>
      <c r="E55" s="11">
        <f t="shared" si="27"/>
        <v>1.803426417019145</v>
      </c>
      <c r="F55" s="37">
        <f t="shared" si="28"/>
        <v>0.33458746141357049</v>
      </c>
      <c r="G55" s="5" t="str">
        <f t="shared" si="29"/>
        <v>Infinite</v>
      </c>
      <c r="H55">
        <f t="shared" si="30"/>
        <v>0</v>
      </c>
      <c r="P55" t="s">
        <v>37</v>
      </c>
      <c r="Q55">
        <v>170</v>
      </c>
      <c r="R55" s="32">
        <v>0.1827</v>
      </c>
      <c r="S55" s="5">
        <f t="shared" si="31"/>
        <v>278539.78307400004</v>
      </c>
      <c r="T55" s="11">
        <f t="shared" si="32"/>
        <v>1.803426417019145</v>
      </c>
      <c r="U55" s="37">
        <f t="shared" si="33"/>
        <v>0.33458746141357049</v>
      </c>
      <c r="V55" s="5" t="str">
        <f t="shared" si="34"/>
        <v>Infinite</v>
      </c>
      <c r="W55">
        <f t="shared" si="35"/>
        <v>0</v>
      </c>
    </row>
    <row r="56" spans="1:25" x14ac:dyDescent="0.35">
      <c r="A56" t="s">
        <v>38</v>
      </c>
      <c r="B56">
        <v>160</v>
      </c>
      <c r="C56" s="32">
        <v>0.1298</v>
      </c>
      <c r="D56" s="5">
        <f t="shared" si="26"/>
        <v>197889.785676</v>
      </c>
      <c r="E56" s="11">
        <f t="shared" si="27"/>
        <v>1.777543659136932</v>
      </c>
      <c r="F56" s="37">
        <f t="shared" si="28"/>
        <v>0.32978546551705601</v>
      </c>
      <c r="G56" s="5" t="str">
        <f t="shared" si="29"/>
        <v>Infinite</v>
      </c>
      <c r="H56">
        <f t="shared" si="30"/>
        <v>0</v>
      </c>
      <c r="P56" t="s">
        <v>38</v>
      </c>
      <c r="Q56">
        <v>160</v>
      </c>
      <c r="R56" s="32">
        <v>0.1298</v>
      </c>
      <c r="S56" s="5">
        <f t="shared" si="31"/>
        <v>197889.785676</v>
      </c>
      <c r="T56" s="11">
        <f t="shared" si="32"/>
        <v>1.777543659136932</v>
      </c>
      <c r="U56" s="37">
        <f t="shared" si="33"/>
        <v>0.32978546551705601</v>
      </c>
      <c r="V56" s="5" t="str">
        <f t="shared" si="34"/>
        <v>Infinite</v>
      </c>
      <c r="W56">
        <f t="shared" si="35"/>
        <v>0</v>
      </c>
    </row>
    <row r="57" spans="1:25" x14ac:dyDescent="0.35">
      <c r="A57" t="s">
        <v>39</v>
      </c>
      <c r="B57">
        <v>150</v>
      </c>
      <c r="C57" s="32">
        <v>7.0000000000000007E-2</v>
      </c>
      <c r="D57" s="5">
        <f t="shared" si="26"/>
        <v>106720.22340000002</v>
      </c>
      <c r="E57" s="11">
        <f t="shared" si="27"/>
        <v>1.7516609012547191</v>
      </c>
      <c r="F57" s="37">
        <f t="shared" si="28"/>
        <v>0.32498346962054153</v>
      </c>
      <c r="G57" s="5" t="str">
        <f t="shared" si="29"/>
        <v>Infinite</v>
      </c>
      <c r="H57">
        <f t="shared" si="30"/>
        <v>0</v>
      </c>
      <c r="P57" t="s">
        <v>39</v>
      </c>
      <c r="Q57">
        <v>150</v>
      </c>
      <c r="R57" s="32">
        <v>0.01</v>
      </c>
      <c r="S57" s="5">
        <f t="shared" si="31"/>
        <v>15245.746200000001</v>
      </c>
      <c r="T57" s="11">
        <f t="shared" si="32"/>
        <v>1.7516609012547191</v>
      </c>
      <c r="U57" s="37">
        <f t="shared" si="33"/>
        <v>0.32498346962054153</v>
      </c>
      <c r="V57" s="5" t="str">
        <f t="shared" si="34"/>
        <v>Infinite</v>
      </c>
      <c r="W57">
        <f t="shared" si="35"/>
        <v>0</v>
      </c>
    </row>
    <row r="58" spans="1:25" x14ac:dyDescent="0.35">
      <c r="A58" t="s">
        <v>40</v>
      </c>
      <c r="B58">
        <v>140</v>
      </c>
      <c r="C58" s="32">
        <v>1.6199999999999999E-2</v>
      </c>
      <c r="D58" s="5">
        <f t="shared" si="26"/>
        <v>24698.108844000002</v>
      </c>
      <c r="E58" s="11">
        <f t="shared" si="27"/>
        <v>1.7257781433725059</v>
      </c>
      <c r="F58" s="37">
        <f t="shared" si="28"/>
        <v>0.32018147372402705</v>
      </c>
      <c r="G58" s="5" t="str">
        <f t="shared" si="29"/>
        <v>Infinite</v>
      </c>
      <c r="H58">
        <f t="shared" si="30"/>
        <v>0</v>
      </c>
      <c r="P58" t="s">
        <v>40</v>
      </c>
      <c r="Q58">
        <v>140</v>
      </c>
      <c r="R58" s="32">
        <v>1.6199999999999999E-2</v>
      </c>
      <c r="S58" s="5">
        <f t="shared" si="31"/>
        <v>24698.108844000002</v>
      </c>
      <c r="T58" s="11">
        <f t="shared" si="32"/>
        <v>1.7257781433725059</v>
      </c>
      <c r="U58" s="37">
        <f t="shared" si="33"/>
        <v>0.32018147372402705</v>
      </c>
      <c r="V58" s="5" t="str">
        <f t="shared" si="34"/>
        <v>Infinite</v>
      </c>
      <c r="W58">
        <f t="shared" si="35"/>
        <v>0</v>
      </c>
    </row>
    <row r="59" spans="1:25" x14ac:dyDescent="0.35">
      <c r="A59" t="s">
        <v>41</v>
      </c>
      <c r="B59">
        <v>130</v>
      </c>
      <c r="C59" s="32">
        <v>2.6200000000000001E-2</v>
      </c>
      <c r="D59" s="5">
        <f t="shared" si="26"/>
        <v>39943.855044000004</v>
      </c>
      <c r="E59" s="11">
        <f t="shared" si="27"/>
        <v>1.6998953854902932</v>
      </c>
      <c r="F59" s="37">
        <f t="shared" si="28"/>
        <v>0.31537947782751263</v>
      </c>
      <c r="G59" s="5" t="str">
        <f t="shared" si="29"/>
        <v>Infinite</v>
      </c>
      <c r="H59">
        <f t="shared" si="30"/>
        <v>0</v>
      </c>
      <c r="P59" t="s">
        <v>41</v>
      </c>
      <c r="Q59">
        <v>130</v>
      </c>
      <c r="R59" s="32">
        <v>2.6200000000000001E-2</v>
      </c>
      <c r="S59" s="5">
        <f t="shared" si="31"/>
        <v>39943.855044000004</v>
      </c>
      <c r="T59" s="11">
        <f t="shared" si="32"/>
        <v>1.6998953854902932</v>
      </c>
      <c r="U59" s="37">
        <f t="shared" si="33"/>
        <v>0.31537947782751263</v>
      </c>
      <c r="V59" s="5" t="str">
        <f t="shared" si="34"/>
        <v>Infinite</v>
      </c>
      <c r="W59">
        <f t="shared" si="35"/>
        <v>0</v>
      </c>
    </row>
    <row r="60" spans="1:25" x14ac:dyDescent="0.35">
      <c r="A60" t="s">
        <v>42</v>
      </c>
      <c r="B60">
        <v>120</v>
      </c>
      <c r="C60" s="32">
        <v>2.6499999999999999E-2</v>
      </c>
      <c r="D60" s="5">
        <f t="shared" si="26"/>
        <v>40401.227429999999</v>
      </c>
      <c r="E60" s="11">
        <f t="shared" si="27"/>
        <v>1.6740126276080802</v>
      </c>
      <c r="F60" s="37">
        <f t="shared" si="28"/>
        <v>0.31057748193099816</v>
      </c>
      <c r="G60" s="5" t="str">
        <f t="shared" si="29"/>
        <v>Infinite</v>
      </c>
      <c r="H60">
        <f t="shared" si="30"/>
        <v>0</v>
      </c>
      <c r="P60" t="s">
        <v>42</v>
      </c>
      <c r="Q60">
        <v>120</v>
      </c>
      <c r="R60" s="32">
        <v>2.6499999999999999E-2</v>
      </c>
      <c r="S60" s="5">
        <f t="shared" si="31"/>
        <v>40401.227429999999</v>
      </c>
      <c r="T60" s="11">
        <f t="shared" si="32"/>
        <v>1.6740126276080802</v>
      </c>
      <c r="U60" s="37">
        <f t="shared" si="33"/>
        <v>0.31057748193099816</v>
      </c>
      <c r="V60" s="5" t="str">
        <f t="shared" si="34"/>
        <v>Infinite</v>
      </c>
      <c r="W60">
        <f t="shared" si="35"/>
        <v>0</v>
      </c>
    </row>
    <row r="61" spans="1:25" x14ac:dyDescent="0.35">
      <c r="A61" t="s">
        <v>43</v>
      </c>
      <c r="B61">
        <v>110</v>
      </c>
      <c r="C61" s="32">
        <v>2.6499999999999999E-2</v>
      </c>
      <c r="D61" s="5">
        <f t="shared" si="26"/>
        <v>40401.227429999999</v>
      </c>
      <c r="E61" s="11">
        <f t="shared" si="27"/>
        <v>1.6481298697258673</v>
      </c>
      <c r="F61" s="37">
        <f t="shared" si="28"/>
        <v>0.30577548603448368</v>
      </c>
      <c r="G61" s="5" t="str">
        <f t="shared" si="29"/>
        <v>Infinite</v>
      </c>
      <c r="H61">
        <f t="shared" si="30"/>
        <v>0</v>
      </c>
      <c r="P61" t="s">
        <v>43</v>
      </c>
      <c r="Q61">
        <v>110</v>
      </c>
      <c r="R61" s="32">
        <v>2.6499999999999999E-2</v>
      </c>
      <c r="S61" s="5">
        <f t="shared" si="31"/>
        <v>40401.227429999999</v>
      </c>
      <c r="T61" s="11">
        <f t="shared" si="32"/>
        <v>1.6481298697258673</v>
      </c>
      <c r="U61" s="37">
        <f t="shared" si="33"/>
        <v>0.30577548603448368</v>
      </c>
      <c r="V61" s="5" t="str">
        <f t="shared" si="34"/>
        <v>Infinite</v>
      </c>
      <c r="W61">
        <f t="shared" si="35"/>
        <v>0</v>
      </c>
    </row>
    <row r="62" spans="1:25" x14ac:dyDescent="0.35">
      <c r="A62" t="s">
        <v>44</v>
      </c>
      <c r="B62">
        <v>100</v>
      </c>
      <c r="C62" s="32">
        <v>3.2500000000000001E-2</v>
      </c>
      <c r="D62" s="5">
        <f t="shared" si="26"/>
        <v>49548.675150000003</v>
      </c>
      <c r="E62" s="11">
        <f t="shared" si="27"/>
        <v>1.6222471118436541</v>
      </c>
      <c r="F62" s="37">
        <f t="shared" si="28"/>
        <v>0.3009734901379692</v>
      </c>
      <c r="G62" s="5" t="str">
        <f t="shared" si="29"/>
        <v>Infinite</v>
      </c>
      <c r="H62">
        <f t="shared" si="30"/>
        <v>0</v>
      </c>
      <c r="P62" t="s">
        <v>44</v>
      </c>
      <c r="Q62">
        <v>100</v>
      </c>
      <c r="R62" s="32">
        <v>3.2500000000000001E-2</v>
      </c>
      <c r="S62" s="5">
        <f t="shared" si="31"/>
        <v>49548.675150000003</v>
      </c>
      <c r="T62" s="11">
        <f t="shared" si="32"/>
        <v>1.6222471118436541</v>
      </c>
      <c r="U62" s="37">
        <f t="shared" si="33"/>
        <v>0.3009734901379692</v>
      </c>
      <c r="V62" s="5" t="str">
        <f t="shared" si="34"/>
        <v>Infinite</v>
      </c>
      <c r="W62">
        <f t="shared" si="35"/>
        <v>0</v>
      </c>
    </row>
    <row r="63" spans="1:25" x14ac:dyDescent="0.35">
      <c r="A63" t="s">
        <v>45</v>
      </c>
      <c r="B63">
        <v>90</v>
      </c>
      <c r="C63" s="32">
        <v>3.2500000000000001E-2</v>
      </c>
      <c r="D63" s="5">
        <f t="shared" si="26"/>
        <v>49548.675150000003</v>
      </c>
      <c r="E63" s="11">
        <f t="shared" si="27"/>
        <v>1.5963643539614412</v>
      </c>
      <c r="F63" s="37">
        <f t="shared" si="28"/>
        <v>0.29617149424145472</v>
      </c>
      <c r="G63" s="5" t="str">
        <f t="shared" si="29"/>
        <v>Infinite</v>
      </c>
      <c r="H63">
        <f t="shared" si="30"/>
        <v>0</v>
      </c>
      <c r="P63" t="s">
        <v>45</v>
      </c>
      <c r="Q63">
        <v>90</v>
      </c>
      <c r="R63" s="32">
        <v>3.2500000000000001E-2</v>
      </c>
      <c r="S63" s="5">
        <f t="shared" si="31"/>
        <v>49548.675150000003</v>
      </c>
      <c r="T63" s="11">
        <f t="shared" si="32"/>
        <v>1.5963643539614412</v>
      </c>
      <c r="U63" s="37">
        <f t="shared" si="33"/>
        <v>0.29617149424145472</v>
      </c>
      <c r="V63" s="5" t="str">
        <f t="shared" si="34"/>
        <v>Infinite</v>
      </c>
      <c r="W63">
        <f t="shared" si="35"/>
        <v>0</v>
      </c>
    </row>
    <row r="64" spans="1:25" x14ac:dyDescent="0.35">
      <c r="A64" t="s">
        <v>46</v>
      </c>
      <c r="B64">
        <v>85</v>
      </c>
      <c r="C64" s="32">
        <v>0.1013</v>
      </c>
      <c r="D64" s="5">
        <f t="shared" si="26"/>
        <v>154439.409006</v>
      </c>
      <c r="E64" s="11">
        <f t="shared" si="27"/>
        <v>1.5834229750203348</v>
      </c>
      <c r="F64" s="37">
        <f t="shared" si="28"/>
        <v>0.29377049629319751</v>
      </c>
      <c r="G64" s="5" t="str">
        <f t="shared" si="29"/>
        <v>Infinite</v>
      </c>
      <c r="H64">
        <f t="shared" si="30"/>
        <v>0</v>
      </c>
      <c r="P64" t="s">
        <v>46</v>
      </c>
      <c r="Q64">
        <v>85</v>
      </c>
      <c r="R64" s="32">
        <v>0.1613</v>
      </c>
      <c r="S64" s="5">
        <f t="shared" si="31"/>
        <v>245913.88620600002</v>
      </c>
      <c r="T64" s="11">
        <f t="shared" si="32"/>
        <v>1.5834229750203348</v>
      </c>
      <c r="U64" s="37">
        <f t="shared" si="33"/>
        <v>0.29377049629319751</v>
      </c>
      <c r="V64" s="5" t="str">
        <f t="shared" si="34"/>
        <v>Infinite</v>
      </c>
      <c r="W64">
        <f t="shared" si="35"/>
        <v>0</v>
      </c>
    </row>
    <row r="65" spans="1:23" x14ac:dyDescent="0.35">
      <c r="A65" t="s">
        <v>84</v>
      </c>
      <c r="B65" s="5">
        <f xml:space="preserve"> SUM(D53,D54,D55,D56,D57,D58,D59,D60,D61,D62,D63,D64)</f>
        <v>1524574.62</v>
      </c>
      <c r="C65" s="41" t="s">
        <v>85</v>
      </c>
      <c r="D65" s="41"/>
      <c r="E65" s="41"/>
      <c r="F65" s="41"/>
      <c r="G65" s="41"/>
      <c r="H65">
        <f xml:space="preserve"> SUM(H53,H54,H55,H56,H57,H58,H59,H60,H61,H62,H63,H64)</f>
        <v>0</v>
      </c>
      <c r="P65" t="s">
        <v>84</v>
      </c>
      <c r="Q65" s="5">
        <f xml:space="preserve"> SUM(S53,S54,S55,S56,S57,S58,S59,S60,S61,S62,S63,S64)</f>
        <v>1524574.6200000003</v>
      </c>
      <c r="R65" s="41" t="s">
        <v>85</v>
      </c>
      <c r="S65" s="41"/>
      <c r="T65" s="41"/>
      <c r="U65" s="41"/>
      <c r="V65" s="41"/>
      <c r="W65">
        <f xml:space="preserve"> SUM(W53,W54,W55,W56,W57,W58,W59,W60,W61,W62,W63,W64)</f>
        <v>0</v>
      </c>
    </row>
    <row r="66" spans="1:23" x14ac:dyDescent="0.35">
      <c r="A66" s="41" t="s">
        <v>71</v>
      </c>
      <c r="B66" s="41"/>
      <c r="C66" s="41"/>
      <c r="D66" s="41"/>
      <c r="E66" s="41"/>
      <c r="F66" s="41"/>
      <c r="G66" s="41"/>
      <c r="H66" s="41"/>
      <c r="P66" s="41" t="s">
        <v>71</v>
      </c>
      <c r="Q66" s="41"/>
      <c r="R66" s="41"/>
      <c r="S66" s="41"/>
      <c r="T66" s="41"/>
      <c r="U66" s="41"/>
      <c r="V66" s="41"/>
      <c r="W66" s="41"/>
    </row>
    <row r="67" spans="1:23" ht="58" x14ac:dyDescent="0.35">
      <c r="A67" t="s">
        <v>47</v>
      </c>
      <c r="B67" t="s">
        <v>48</v>
      </c>
      <c r="C67" s="36" t="s">
        <v>49</v>
      </c>
      <c r="D67" s="36" t="s">
        <v>53</v>
      </c>
      <c r="E67" s="36" t="s">
        <v>54</v>
      </c>
      <c r="F67" s="36" t="s">
        <v>67</v>
      </c>
      <c r="G67" s="36" t="s">
        <v>68</v>
      </c>
      <c r="H67" s="36" t="s">
        <v>69</v>
      </c>
      <c r="P67" t="s">
        <v>47</v>
      </c>
      <c r="Q67" t="s">
        <v>48</v>
      </c>
      <c r="R67" s="36" t="s">
        <v>49</v>
      </c>
      <c r="S67" s="36" t="s">
        <v>53</v>
      </c>
      <c r="T67" s="36" t="s">
        <v>54</v>
      </c>
      <c r="U67" s="36" t="s">
        <v>67</v>
      </c>
      <c r="V67" s="36" t="s">
        <v>68</v>
      </c>
      <c r="W67" s="36" t="s">
        <v>69</v>
      </c>
    </row>
    <row r="68" spans="1:23" x14ac:dyDescent="0.35">
      <c r="A68" t="s">
        <v>72</v>
      </c>
      <c r="B68">
        <v>390</v>
      </c>
      <c r="C68" s="32">
        <v>0.14499999999999999</v>
      </c>
      <c r="D68" s="5">
        <f xml:space="preserve"> $G$6*C68</f>
        <v>273078.21869999997</v>
      </c>
      <c r="E68" s="11">
        <f xml:space="preserve"> -0.219+168.48*($B$11)^2/($B$5*($B$12)^2)+1.686*($B$14*B68*$B$11)/($B$5*($B$12)^4)+ 0.1089*$B$10</f>
        <v>2.3728470904278303</v>
      </c>
      <c r="F68" s="37">
        <f xml:space="preserve"> E68/($B$13*1.1)</f>
        <v>0.44023137113688871</v>
      </c>
      <c r="G68" s="5" t="str">
        <f xml:space="preserve"> IF(F68&lt;0.45, "Infinite", IF(F68&lt;0.55, (4.2577/(F68-0.4325))^3.268,10^( (0.9718-F68)/0.0828)))</f>
        <v>Infinite</v>
      </c>
      <c r="H68">
        <f xml:space="preserve"> IF(G68= "Infinite",0, D68/G68)</f>
        <v>0</v>
      </c>
      <c r="P68" t="s">
        <v>72</v>
      </c>
      <c r="Q68">
        <v>390</v>
      </c>
      <c r="R68" s="32">
        <v>0.14499999999999999</v>
      </c>
      <c r="S68" s="5">
        <f xml:space="preserve"> $G$6*R68</f>
        <v>273078.21869999997</v>
      </c>
      <c r="T68" s="11">
        <f xml:space="preserve"> -0.219+168.48*($B$11)^2/($B$5*($B$12)^2)+1.686*($B$14*Q68*$B$11)/($B$5*($B$12)^4)+ 0.1089*$B$10</f>
        <v>2.3728470904278303</v>
      </c>
      <c r="U68" s="37">
        <f xml:space="preserve"> T68/($B$13*1.1)</f>
        <v>0.44023137113688871</v>
      </c>
      <c r="V68" s="5" t="str">
        <f xml:space="preserve"> IF(U68&lt;0.45, "Infinite", IF(U68&lt;0.55, (4.2577/(U68-0.4325))^3.268,10^( (0.9718-U68)/0.0828)))</f>
        <v>Infinite</v>
      </c>
      <c r="W68">
        <f xml:space="preserve"> IF(V68= "Infinite",0, S68/V68)</f>
        <v>0</v>
      </c>
    </row>
    <row r="69" spans="1:23" x14ac:dyDescent="0.35">
      <c r="A69" t="s">
        <v>73</v>
      </c>
      <c r="B69">
        <v>370</v>
      </c>
      <c r="C69" s="32">
        <v>0.105</v>
      </c>
      <c r="D69" s="5">
        <f t="shared" ref="D69:D79" si="36" xml:space="preserve"> $G$6*C69</f>
        <v>197746.29629999999</v>
      </c>
      <c r="E69" s="11">
        <f t="shared" ref="E69:E79" si="37" xml:space="preserve"> -0.219+168.48*($B$11)^2/($B$5*($B$12)^2)+1.686*($B$14*B69*$B$11)/($B$5*($B$12)^4)+ 0.1089*$B$10</f>
        <v>2.3210815746634044</v>
      </c>
      <c r="F69" s="37">
        <f t="shared" ref="F69:F79" si="38" xml:space="preserve"> E69/($B$13*1.1)</f>
        <v>0.43062737934385975</v>
      </c>
      <c r="G69" s="5" t="str">
        <f t="shared" ref="G69:G79" si="39" xml:space="preserve"> IF(F69&lt;0.45, "Infinite", IF(F69&lt;0.55, (4.2577/(F69-0.4325))^3.268,10^( (0.9718-F69)/0.0828)))</f>
        <v>Infinite</v>
      </c>
      <c r="H69">
        <f t="shared" ref="H69:H79" si="40" xml:space="preserve"> IF(G69= "Infinite",0, D69/G69)</f>
        <v>0</v>
      </c>
      <c r="P69" t="s">
        <v>73</v>
      </c>
      <c r="Q69">
        <v>370</v>
      </c>
      <c r="R69" s="32">
        <v>0.105</v>
      </c>
      <c r="S69" s="5">
        <f t="shared" ref="S69:S79" si="41" xml:space="preserve"> $G$6*R69</f>
        <v>197746.29629999999</v>
      </c>
      <c r="T69" s="11">
        <f t="shared" ref="T69:T79" si="42" xml:space="preserve"> -0.219+168.48*($B$11)^2/($B$5*($B$12)^2)+1.686*($B$14*Q69*$B$11)/($B$5*($B$12)^4)+ 0.1089*$B$10</f>
        <v>2.3210815746634044</v>
      </c>
      <c r="U69" s="37">
        <f t="shared" ref="U69:U79" si="43" xml:space="preserve"> T69/($B$13*1.1)</f>
        <v>0.43062737934385975</v>
      </c>
      <c r="V69" s="5" t="str">
        <f t="shared" ref="V69:V79" si="44" xml:space="preserve"> IF(U69&lt;0.45, "Infinite", IF(U69&lt;0.55, (4.2577/(U69-0.4325))^3.268,10^( (0.9718-U69)/0.0828)))</f>
        <v>Infinite</v>
      </c>
      <c r="W69">
        <f t="shared" ref="W69:W79" si="45" xml:space="preserve"> IF(V69= "Infinite",0, S69/V69)</f>
        <v>0</v>
      </c>
    </row>
    <row r="70" spans="1:23" x14ac:dyDescent="0.35">
      <c r="A70" t="s">
        <v>74</v>
      </c>
      <c r="B70">
        <v>350</v>
      </c>
      <c r="C70" s="32">
        <v>7.0000000000000007E-2</v>
      </c>
      <c r="D70" s="5">
        <f t="shared" si="36"/>
        <v>131830.86420000001</v>
      </c>
      <c r="E70" s="11">
        <f t="shared" si="37"/>
        <v>2.269316058898978</v>
      </c>
      <c r="F70" s="37">
        <f t="shared" si="38"/>
        <v>0.42102338755083074</v>
      </c>
      <c r="G70" s="5" t="str">
        <f t="shared" si="39"/>
        <v>Infinite</v>
      </c>
      <c r="H70">
        <f t="shared" si="40"/>
        <v>0</v>
      </c>
      <c r="P70" t="s">
        <v>74</v>
      </c>
      <c r="Q70">
        <v>350</v>
      </c>
      <c r="R70" s="32">
        <v>0.01</v>
      </c>
      <c r="S70" s="5">
        <f t="shared" si="41"/>
        <v>18832.980599999999</v>
      </c>
      <c r="T70" s="11">
        <f t="shared" si="42"/>
        <v>2.269316058898978</v>
      </c>
      <c r="U70" s="37">
        <f t="shared" si="43"/>
        <v>0.42102338755083074</v>
      </c>
      <c r="V70" s="5" t="str">
        <f t="shared" si="44"/>
        <v>Infinite</v>
      </c>
      <c r="W70">
        <f t="shared" si="45"/>
        <v>0</v>
      </c>
    </row>
    <row r="71" spans="1:23" x14ac:dyDescent="0.35">
      <c r="A71" t="s">
        <v>75</v>
      </c>
      <c r="B71">
        <v>330</v>
      </c>
      <c r="C71" s="32">
        <v>2.5000000000000001E-2</v>
      </c>
      <c r="D71" s="5">
        <f t="shared" si="36"/>
        <v>47082.451499999996</v>
      </c>
      <c r="E71" s="11">
        <f t="shared" si="37"/>
        <v>2.2175505431345526</v>
      </c>
      <c r="F71" s="37">
        <f t="shared" si="38"/>
        <v>0.4114193957578019</v>
      </c>
      <c r="G71" s="5" t="str">
        <f t="shared" si="39"/>
        <v>Infinite</v>
      </c>
      <c r="H71">
        <f t="shared" si="40"/>
        <v>0</v>
      </c>
      <c r="P71" t="s">
        <v>75</v>
      </c>
      <c r="Q71">
        <v>330</v>
      </c>
      <c r="R71" s="32">
        <v>2.5000000000000001E-2</v>
      </c>
      <c r="S71" s="5">
        <f t="shared" si="41"/>
        <v>47082.451499999996</v>
      </c>
      <c r="T71" s="11">
        <f t="shared" si="42"/>
        <v>2.2175505431345526</v>
      </c>
      <c r="U71" s="37">
        <f t="shared" si="43"/>
        <v>0.4114193957578019</v>
      </c>
      <c r="V71" s="5" t="str">
        <f t="shared" si="44"/>
        <v>Infinite</v>
      </c>
      <c r="W71">
        <f t="shared" si="45"/>
        <v>0</v>
      </c>
    </row>
    <row r="72" spans="1:23" x14ac:dyDescent="0.35">
      <c r="A72" t="s">
        <v>76</v>
      </c>
      <c r="B72">
        <v>310</v>
      </c>
      <c r="C72" s="32">
        <v>2.69E-2</v>
      </c>
      <c r="D72" s="5">
        <f t="shared" si="36"/>
        <v>50660.717813999996</v>
      </c>
      <c r="E72" s="11">
        <f t="shared" si="37"/>
        <v>2.1657850273701267</v>
      </c>
      <c r="F72" s="37">
        <f t="shared" si="38"/>
        <v>0.401815403964773</v>
      </c>
      <c r="G72" s="5" t="str">
        <f t="shared" si="39"/>
        <v>Infinite</v>
      </c>
      <c r="H72">
        <f t="shared" si="40"/>
        <v>0</v>
      </c>
      <c r="P72" t="s">
        <v>76</v>
      </c>
      <c r="Q72">
        <v>310</v>
      </c>
      <c r="R72" s="32">
        <v>2.69E-2</v>
      </c>
      <c r="S72" s="5">
        <f t="shared" si="41"/>
        <v>50660.717813999996</v>
      </c>
      <c r="T72" s="11">
        <f t="shared" si="42"/>
        <v>2.1657850273701267</v>
      </c>
      <c r="U72" s="37">
        <f t="shared" si="43"/>
        <v>0.401815403964773</v>
      </c>
      <c r="V72" s="5" t="str">
        <f t="shared" si="44"/>
        <v>Infinite</v>
      </c>
      <c r="W72">
        <f t="shared" si="45"/>
        <v>0</v>
      </c>
    </row>
    <row r="73" spans="1:23" x14ac:dyDescent="0.35">
      <c r="A73" t="s">
        <v>77</v>
      </c>
      <c r="B73">
        <v>290</v>
      </c>
      <c r="C73" s="32">
        <v>1.26E-2</v>
      </c>
      <c r="D73" s="5">
        <f t="shared" si="36"/>
        <v>23729.555555999999</v>
      </c>
      <c r="E73" s="11">
        <f t="shared" si="37"/>
        <v>2.1140195116057008</v>
      </c>
      <c r="F73" s="37">
        <f t="shared" si="38"/>
        <v>0.3922114121717441</v>
      </c>
      <c r="G73" s="5" t="str">
        <f t="shared" si="39"/>
        <v>Infinite</v>
      </c>
      <c r="H73">
        <f t="shared" si="40"/>
        <v>0</v>
      </c>
      <c r="P73" t="s">
        <v>77</v>
      </c>
      <c r="Q73">
        <v>290</v>
      </c>
      <c r="R73" s="32">
        <v>1.26E-2</v>
      </c>
      <c r="S73" s="5">
        <f t="shared" si="41"/>
        <v>23729.555555999999</v>
      </c>
      <c r="T73" s="11">
        <f t="shared" si="42"/>
        <v>2.1140195116057008</v>
      </c>
      <c r="U73" s="37">
        <f t="shared" si="43"/>
        <v>0.3922114121717441</v>
      </c>
      <c r="V73" s="5" t="str">
        <f t="shared" si="44"/>
        <v>Infinite</v>
      </c>
      <c r="W73">
        <f t="shared" si="45"/>
        <v>0</v>
      </c>
    </row>
    <row r="74" spans="1:23" x14ac:dyDescent="0.35">
      <c r="A74" t="s">
        <v>78</v>
      </c>
      <c r="B74">
        <v>270</v>
      </c>
      <c r="C74" s="32">
        <v>3.9E-2</v>
      </c>
      <c r="D74" s="5">
        <f t="shared" si="36"/>
        <v>73448.624339999995</v>
      </c>
      <c r="E74" s="11">
        <f t="shared" si="37"/>
        <v>2.0622539958412744</v>
      </c>
      <c r="F74" s="37">
        <f t="shared" si="38"/>
        <v>0.38260742037871509</v>
      </c>
      <c r="G74" s="5" t="str">
        <f t="shared" si="39"/>
        <v>Infinite</v>
      </c>
      <c r="H74">
        <f t="shared" si="40"/>
        <v>0</v>
      </c>
      <c r="P74" t="s">
        <v>78</v>
      </c>
      <c r="Q74">
        <v>270</v>
      </c>
      <c r="R74" s="32">
        <v>3.9E-2</v>
      </c>
      <c r="S74" s="5">
        <f t="shared" si="41"/>
        <v>73448.624339999995</v>
      </c>
      <c r="T74" s="11">
        <f t="shared" si="42"/>
        <v>2.0622539958412744</v>
      </c>
      <c r="U74" s="37">
        <f t="shared" si="43"/>
        <v>0.38260742037871509</v>
      </c>
      <c r="V74" s="5" t="str">
        <f t="shared" si="44"/>
        <v>Infinite</v>
      </c>
      <c r="W74">
        <f t="shared" si="45"/>
        <v>0</v>
      </c>
    </row>
    <row r="75" spans="1:23" x14ac:dyDescent="0.35">
      <c r="A75" t="s">
        <v>79</v>
      </c>
      <c r="B75">
        <v>250</v>
      </c>
      <c r="C75" s="32">
        <v>5.1900000000000002E-2</v>
      </c>
      <c r="D75" s="5">
        <f t="shared" si="36"/>
        <v>97743.169313999999</v>
      </c>
      <c r="E75" s="11">
        <f t="shared" si="37"/>
        <v>2.0104884800768485</v>
      </c>
      <c r="F75" s="37">
        <f t="shared" si="38"/>
        <v>0.37300342858568614</v>
      </c>
      <c r="G75" s="5" t="str">
        <f t="shared" si="39"/>
        <v>Infinite</v>
      </c>
      <c r="H75">
        <f t="shared" si="40"/>
        <v>0</v>
      </c>
      <c r="P75" t="s">
        <v>79</v>
      </c>
      <c r="Q75">
        <v>250</v>
      </c>
      <c r="R75" s="32">
        <v>5.1900000000000002E-2</v>
      </c>
      <c r="S75" s="5">
        <f t="shared" si="41"/>
        <v>97743.169313999999</v>
      </c>
      <c r="T75" s="11">
        <f t="shared" si="42"/>
        <v>2.0104884800768485</v>
      </c>
      <c r="U75" s="37">
        <f t="shared" si="43"/>
        <v>0.37300342858568614</v>
      </c>
      <c r="V75" s="5" t="str">
        <f t="shared" si="44"/>
        <v>Infinite</v>
      </c>
      <c r="W75">
        <f t="shared" si="45"/>
        <v>0</v>
      </c>
    </row>
    <row r="76" spans="1:23" x14ac:dyDescent="0.35">
      <c r="A76" t="s">
        <v>80</v>
      </c>
      <c r="B76">
        <v>230</v>
      </c>
      <c r="C76" s="32">
        <v>6.3E-2</v>
      </c>
      <c r="D76" s="5">
        <f t="shared" si="36"/>
        <v>118647.77777999999</v>
      </c>
      <c r="E76" s="11">
        <f t="shared" si="37"/>
        <v>1.9587229643124227</v>
      </c>
      <c r="F76" s="37">
        <f t="shared" si="38"/>
        <v>0.36339943679265724</v>
      </c>
      <c r="G76" s="5" t="str">
        <f t="shared" si="39"/>
        <v>Infinite</v>
      </c>
      <c r="H76">
        <f t="shared" si="40"/>
        <v>0</v>
      </c>
      <c r="P76" t="s">
        <v>80</v>
      </c>
      <c r="Q76">
        <v>230</v>
      </c>
      <c r="R76" s="32">
        <v>6.3E-2</v>
      </c>
      <c r="S76" s="5">
        <f t="shared" si="41"/>
        <v>118647.77777999999</v>
      </c>
      <c r="T76" s="11">
        <f t="shared" si="42"/>
        <v>1.9587229643124227</v>
      </c>
      <c r="U76" s="37">
        <f t="shared" si="43"/>
        <v>0.36339943679265724</v>
      </c>
      <c r="V76" s="5" t="str">
        <f t="shared" si="44"/>
        <v>Infinite</v>
      </c>
      <c r="W76">
        <f t="shared" si="45"/>
        <v>0</v>
      </c>
    </row>
    <row r="77" spans="1:23" x14ac:dyDescent="0.35">
      <c r="A77" t="s">
        <v>81</v>
      </c>
      <c r="B77">
        <v>210</v>
      </c>
      <c r="C77" s="32">
        <v>6.4000000000000001E-2</v>
      </c>
      <c r="D77" s="5">
        <f t="shared" si="36"/>
        <v>120531.07583999999</v>
      </c>
      <c r="E77" s="11">
        <f t="shared" si="37"/>
        <v>1.9069574485479968</v>
      </c>
      <c r="F77" s="37">
        <f t="shared" si="38"/>
        <v>0.35379544499962828</v>
      </c>
      <c r="G77" s="5" t="str">
        <f t="shared" si="39"/>
        <v>Infinite</v>
      </c>
      <c r="H77">
        <f t="shared" si="40"/>
        <v>0</v>
      </c>
      <c r="P77" t="s">
        <v>81</v>
      </c>
      <c r="Q77">
        <v>210</v>
      </c>
      <c r="R77" s="32">
        <v>6.4000000000000001E-2</v>
      </c>
      <c r="S77" s="5">
        <f t="shared" si="41"/>
        <v>120531.07583999999</v>
      </c>
      <c r="T77" s="11">
        <f t="shared" si="42"/>
        <v>1.9069574485479968</v>
      </c>
      <c r="U77" s="37">
        <f t="shared" si="43"/>
        <v>0.35379544499962828</v>
      </c>
      <c r="V77" s="5" t="str">
        <f t="shared" si="44"/>
        <v>Infinite</v>
      </c>
      <c r="W77">
        <f t="shared" si="45"/>
        <v>0</v>
      </c>
    </row>
    <row r="78" spans="1:23" x14ac:dyDescent="0.35">
      <c r="A78" t="s">
        <v>82</v>
      </c>
      <c r="B78">
        <v>190</v>
      </c>
      <c r="C78" s="32">
        <v>5.5300000000000002E-2</v>
      </c>
      <c r="D78" s="5">
        <f t="shared" si="36"/>
        <v>104146.38271799999</v>
      </c>
      <c r="E78" s="11">
        <f t="shared" si="37"/>
        <v>1.8551919327835709</v>
      </c>
      <c r="F78" s="37">
        <f t="shared" si="38"/>
        <v>0.34419145320659938</v>
      </c>
      <c r="G78" s="5" t="str">
        <f t="shared" si="39"/>
        <v>Infinite</v>
      </c>
      <c r="H78">
        <f t="shared" si="40"/>
        <v>0</v>
      </c>
      <c r="P78" t="s">
        <v>82</v>
      </c>
      <c r="Q78">
        <v>190</v>
      </c>
      <c r="R78" s="32">
        <v>0.1153</v>
      </c>
      <c r="S78" s="5">
        <f t="shared" si="41"/>
        <v>217144.26631799998</v>
      </c>
      <c r="T78" s="11">
        <f t="shared" si="42"/>
        <v>1.8551919327835709</v>
      </c>
      <c r="U78" s="37">
        <f t="shared" si="43"/>
        <v>0.34419145320659938</v>
      </c>
      <c r="V78" s="5" t="str">
        <f t="shared" si="44"/>
        <v>Infinite</v>
      </c>
      <c r="W78">
        <f t="shared" si="45"/>
        <v>0</v>
      </c>
    </row>
    <row r="79" spans="1:23" x14ac:dyDescent="0.35">
      <c r="A79" t="s">
        <v>83</v>
      </c>
      <c r="B79">
        <v>180</v>
      </c>
      <c r="C79" s="32">
        <v>0.34229999999999999</v>
      </c>
      <c r="D79" s="5">
        <f t="shared" si="36"/>
        <v>644652.92593799997</v>
      </c>
      <c r="E79" s="11">
        <f t="shared" si="37"/>
        <v>1.8293091749013579</v>
      </c>
      <c r="F79" s="37">
        <f t="shared" si="38"/>
        <v>0.33938945731008491</v>
      </c>
      <c r="G79" s="5" t="str">
        <f t="shared" si="39"/>
        <v>Infinite</v>
      </c>
      <c r="H79">
        <f t="shared" si="40"/>
        <v>0</v>
      </c>
      <c r="P79" t="s">
        <v>83</v>
      </c>
      <c r="Q79">
        <v>180</v>
      </c>
      <c r="R79" s="32">
        <v>0.34229999999999999</v>
      </c>
      <c r="S79" s="5">
        <f t="shared" si="41"/>
        <v>644652.92593799997</v>
      </c>
      <c r="T79" s="11">
        <f t="shared" si="42"/>
        <v>1.8293091749013579</v>
      </c>
      <c r="U79" s="37">
        <f t="shared" si="43"/>
        <v>0.33938945731008491</v>
      </c>
      <c r="V79" s="5" t="str">
        <f t="shared" si="44"/>
        <v>Infinite</v>
      </c>
      <c r="W79">
        <f t="shared" si="45"/>
        <v>0</v>
      </c>
    </row>
    <row r="80" spans="1:23" x14ac:dyDescent="0.35">
      <c r="A80" t="s">
        <v>84</v>
      </c>
      <c r="B80" s="5">
        <f xml:space="preserve"> SUM(D68,D69,D70,D71,D72,D73,D74,D75,D76,D77,D78,D79)</f>
        <v>1883298.0599999998</v>
      </c>
      <c r="C80" s="41" t="s">
        <v>91</v>
      </c>
      <c r="D80" s="41"/>
      <c r="E80" s="41"/>
      <c r="F80" s="41"/>
      <c r="G80" s="41"/>
      <c r="H80">
        <f>SUM(H68,H69,H70,H71,H72,H73,H74,H75,H76,H77,H78,H79)</f>
        <v>0</v>
      </c>
      <c r="P80" t="s">
        <v>84</v>
      </c>
      <c r="Q80" s="5">
        <f xml:space="preserve"> SUM(S68,S69,S70,S71,S72,S73,S74,S75,S76,S77,S78,S79)</f>
        <v>1883298.0599999998</v>
      </c>
      <c r="R80" s="41" t="s">
        <v>91</v>
      </c>
      <c r="S80" s="41"/>
      <c r="T80" s="41"/>
      <c r="U80" s="41"/>
      <c r="V80" s="41"/>
      <c r="W80">
        <f>SUM(W68,W69,W70,W71,W72,W73,W74,W75,W76,W77,W78,W79)</f>
        <v>0</v>
      </c>
    </row>
    <row r="81" spans="1:8" x14ac:dyDescent="0.35">
      <c r="A81" s="41" t="s">
        <v>95</v>
      </c>
      <c r="B81" s="41"/>
      <c r="C81" s="41"/>
      <c r="D81" s="41"/>
      <c r="E81" s="41"/>
      <c r="F81" s="41"/>
      <c r="G81" s="41"/>
      <c r="H81" s="41"/>
    </row>
    <row r="82" spans="1:8" ht="29" x14ac:dyDescent="0.35">
      <c r="A82" t="s">
        <v>47</v>
      </c>
      <c r="B82" t="s">
        <v>48</v>
      </c>
      <c r="C82" s="36" t="s">
        <v>49</v>
      </c>
      <c r="D82" s="36" t="s">
        <v>53</v>
      </c>
      <c r="E82" s="36" t="s">
        <v>54</v>
      </c>
      <c r="F82" s="36" t="s">
        <v>67</v>
      </c>
      <c r="G82" s="36" t="s">
        <v>68</v>
      </c>
      <c r="H82" s="36" t="s">
        <v>69</v>
      </c>
    </row>
    <row r="83" spans="1:8" x14ac:dyDescent="0.35">
      <c r="A83" t="s">
        <v>96</v>
      </c>
      <c r="B83">
        <v>545</v>
      </c>
      <c r="C83" s="32">
        <v>5.2299999999999999E-2</v>
      </c>
      <c r="D83" s="5">
        <f xml:space="preserve"> $G$7*C83</f>
        <v>107877.10649400001</v>
      </c>
      <c r="E83" s="11">
        <f xml:space="preserve"> -0.219+168.48*($B$11)^2/($B$5*($B$12)^2)+1.686*($B$14*B83*$B$11)/($B$5*($B$12)^4)+ 0.1089*$B$10</f>
        <v>2.7740298376021308</v>
      </c>
      <c r="F83" s="37">
        <f xml:space="preserve"> E83/($B$13*1.1)</f>
        <v>0.51466230753286279</v>
      </c>
      <c r="G83" s="5">
        <f xml:space="preserve"> IF(F83&lt;0.45, "Infinite", IF(F83&lt;0.55, (4.2577/(F83-0.4325))^3.268,10^( (0.9718-F83)/0.0828)))</f>
        <v>400861.12403155607</v>
      </c>
      <c r="H83">
        <f xml:space="preserve"> IF(G83= "Infinite",0, D83/G83)</f>
        <v>0.26911341616032552</v>
      </c>
    </row>
    <row r="84" spans="1:8" x14ac:dyDescent="0.35">
      <c r="A84" t="s">
        <v>97</v>
      </c>
      <c r="B84">
        <v>515</v>
      </c>
      <c r="C84" s="32">
        <v>7.0000000000000007E-2</v>
      </c>
      <c r="D84" s="5">
        <f t="shared" ref="D84:D94" si="46" xml:space="preserve"> $G$7*C84</f>
        <v>144386.18460000001</v>
      </c>
      <c r="E84" s="11">
        <f t="shared" ref="E84:E94" si="47" xml:space="preserve"> -0.219+168.48*($B$11)^2/($B$5*($B$12)^2)+1.686*($B$14*B84*$B$11)/($B$5*($B$12)^4)+ 0.1089*$B$10</f>
        <v>2.6963815639554927</v>
      </c>
      <c r="F84" s="37">
        <f t="shared" ref="F84:F94" si="48" xml:space="preserve"> E84/($B$13*1.1)</f>
        <v>0.50025631984331953</v>
      </c>
      <c r="G84" s="5">
        <f t="shared" ref="G84:G94" si="49" xml:space="preserve"> IF(F84&lt;0.45, "Infinite", IF(F84&lt;0.55, (4.2577/(F84-0.4325))^3.268,10^( (0.9718-F84)/0.0828)))</f>
        <v>752662.20908475784</v>
      </c>
      <c r="H84">
        <f t="shared" ref="H84:H94" si="50" xml:space="preserve"> IF(G84= "Infinite",0, D84/G84)</f>
        <v>0.19183397659299853</v>
      </c>
    </row>
    <row r="85" spans="1:8" x14ac:dyDescent="0.35">
      <c r="A85" t="s">
        <v>98</v>
      </c>
      <c r="B85">
        <v>485</v>
      </c>
      <c r="C85" s="32">
        <v>3.44E-2</v>
      </c>
      <c r="D85" s="5">
        <f t="shared" si="46"/>
        <v>70955.496432</v>
      </c>
      <c r="E85" s="11">
        <f t="shared" si="47"/>
        <v>2.6187332903088536</v>
      </c>
      <c r="F85" s="37">
        <f t="shared" si="48"/>
        <v>0.48585033215377615</v>
      </c>
      <c r="G85" s="5">
        <f t="shared" si="49"/>
        <v>1643841.5551478313</v>
      </c>
      <c r="H85">
        <f t="shared" si="50"/>
        <v>4.3164437721991362E-2</v>
      </c>
    </row>
    <row r="86" spans="1:8" x14ac:dyDescent="0.35">
      <c r="A86" t="s">
        <v>99</v>
      </c>
      <c r="B86">
        <v>455</v>
      </c>
      <c r="C86" s="32">
        <v>7.1199999999999999E-2</v>
      </c>
      <c r="D86" s="5">
        <f t="shared" si="46"/>
        <v>146861.37633599999</v>
      </c>
      <c r="E86" s="11">
        <f t="shared" si="47"/>
        <v>2.5410850166622145</v>
      </c>
      <c r="F86" s="37">
        <f t="shared" si="48"/>
        <v>0.47144434446423272</v>
      </c>
      <c r="G86" s="5">
        <f t="shared" si="49"/>
        <v>4598029.9484738801</v>
      </c>
      <c r="H86">
        <f t="shared" si="50"/>
        <v>3.1940065197866831E-2</v>
      </c>
    </row>
    <row r="87" spans="1:8" x14ac:dyDescent="0.35">
      <c r="A87" t="s">
        <v>100</v>
      </c>
      <c r="B87">
        <v>425</v>
      </c>
      <c r="C87" s="32">
        <v>0.1011</v>
      </c>
      <c r="D87" s="5">
        <f t="shared" si="46"/>
        <v>208534.903758</v>
      </c>
      <c r="E87" s="11">
        <f t="shared" si="47"/>
        <v>2.4634367430155759</v>
      </c>
      <c r="F87" s="37">
        <f t="shared" si="48"/>
        <v>0.45703835677468935</v>
      </c>
      <c r="G87" s="5">
        <f t="shared" si="49"/>
        <v>20803148.564344101</v>
      </c>
      <c r="H87">
        <f t="shared" si="50"/>
        <v>1.002419913086723E-2</v>
      </c>
    </row>
    <row r="88" spans="1:8" x14ac:dyDescent="0.35">
      <c r="A88" t="s">
        <v>101</v>
      </c>
      <c r="B88">
        <v>395</v>
      </c>
      <c r="C88" s="32">
        <v>0.1201</v>
      </c>
      <c r="D88" s="5">
        <f t="shared" si="46"/>
        <v>247725.43957799999</v>
      </c>
      <c r="E88" s="11">
        <f t="shared" si="47"/>
        <v>2.3857884693689364</v>
      </c>
      <c r="F88" s="37">
        <f t="shared" si="48"/>
        <v>0.44263236908514586</v>
      </c>
      <c r="G88" s="5" t="str">
        <f t="shared" si="49"/>
        <v>Infinite</v>
      </c>
      <c r="H88">
        <f t="shared" si="50"/>
        <v>0</v>
      </c>
    </row>
    <row r="89" spans="1:8" x14ac:dyDescent="0.35">
      <c r="A89" t="s">
        <v>102</v>
      </c>
      <c r="B89">
        <v>365</v>
      </c>
      <c r="C89" s="32">
        <v>0.15570000000000001</v>
      </c>
      <c r="D89" s="5">
        <f t="shared" si="46"/>
        <v>321156.12774600001</v>
      </c>
      <c r="E89" s="11">
        <f t="shared" si="47"/>
        <v>2.3081401957222978</v>
      </c>
      <c r="F89" s="37">
        <f t="shared" si="48"/>
        <v>0.42822638139560248</v>
      </c>
      <c r="G89" s="5" t="str">
        <f t="shared" si="49"/>
        <v>Infinite</v>
      </c>
      <c r="H89">
        <f t="shared" si="50"/>
        <v>0</v>
      </c>
    </row>
    <row r="90" spans="1:8" x14ac:dyDescent="0.35">
      <c r="A90" t="s">
        <v>103</v>
      </c>
      <c r="B90">
        <v>335</v>
      </c>
      <c r="C90" s="32">
        <v>0.1113</v>
      </c>
      <c r="D90" s="5">
        <f t="shared" si="46"/>
        <v>229574.03351399998</v>
      </c>
      <c r="E90" s="11">
        <f t="shared" si="47"/>
        <v>2.2304919220756592</v>
      </c>
      <c r="F90" s="37">
        <f t="shared" si="48"/>
        <v>0.41382039370605916</v>
      </c>
      <c r="G90" s="5" t="str">
        <f t="shared" si="49"/>
        <v>Infinite</v>
      </c>
      <c r="H90">
        <f t="shared" si="50"/>
        <v>0</v>
      </c>
    </row>
    <row r="91" spans="1:8" x14ac:dyDescent="0.35">
      <c r="A91" t="s">
        <v>104</v>
      </c>
      <c r="B91">
        <v>305</v>
      </c>
      <c r="C91" s="32">
        <v>4.5499999999999999E-2</v>
      </c>
      <c r="D91" s="5">
        <f t="shared" si="46"/>
        <v>93851.019990000001</v>
      </c>
      <c r="E91" s="11">
        <f t="shared" si="47"/>
        <v>2.1528436484290197</v>
      </c>
      <c r="F91" s="37">
        <f t="shared" si="48"/>
        <v>0.39941440601651568</v>
      </c>
      <c r="G91" s="5" t="str">
        <f t="shared" si="49"/>
        <v>Infinite</v>
      </c>
      <c r="H91">
        <f t="shared" si="50"/>
        <v>0</v>
      </c>
    </row>
    <row r="92" spans="1:8" x14ac:dyDescent="0.35">
      <c r="A92" t="s">
        <v>105</v>
      </c>
      <c r="B92">
        <v>275</v>
      </c>
      <c r="C92" s="32">
        <v>3.1600000000000003E-2</v>
      </c>
      <c r="D92" s="5">
        <f t="shared" si="46"/>
        <v>65180.049048000008</v>
      </c>
      <c r="E92" s="11">
        <f t="shared" si="47"/>
        <v>2.075195374782381</v>
      </c>
      <c r="F92" s="37">
        <f t="shared" si="48"/>
        <v>0.3850084183269723</v>
      </c>
      <c r="G92" s="5" t="str">
        <f t="shared" si="49"/>
        <v>Infinite</v>
      </c>
      <c r="H92">
        <f t="shared" si="50"/>
        <v>0</v>
      </c>
    </row>
    <row r="93" spans="1:8" x14ac:dyDescent="0.35">
      <c r="A93" t="s">
        <v>106</v>
      </c>
      <c r="B93">
        <v>245</v>
      </c>
      <c r="C93" s="32">
        <v>3.1E-2</v>
      </c>
      <c r="D93" s="5">
        <f t="shared" si="46"/>
        <v>63942.453179999997</v>
      </c>
      <c r="E93" s="11">
        <f t="shared" si="47"/>
        <v>1.997547101135742</v>
      </c>
      <c r="F93" s="37">
        <f t="shared" si="48"/>
        <v>0.37060243063742887</v>
      </c>
      <c r="G93" s="5" t="str">
        <f t="shared" si="49"/>
        <v>Infinite</v>
      </c>
      <c r="H93">
        <f t="shared" si="50"/>
        <v>0</v>
      </c>
    </row>
    <row r="94" spans="1:8" x14ac:dyDescent="0.35">
      <c r="A94" t="s">
        <v>107</v>
      </c>
      <c r="B94">
        <v>230</v>
      </c>
      <c r="C94" s="32">
        <v>0.17580000000000001</v>
      </c>
      <c r="D94" s="5">
        <f t="shared" si="46"/>
        <v>362615.589324</v>
      </c>
      <c r="E94" s="11">
        <f t="shared" si="47"/>
        <v>1.9587229643124227</v>
      </c>
      <c r="F94" s="37">
        <f t="shared" si="48"/>
        <v>0.36339943679265724</v>
      </c>
      <c r="G94" s="5" t="str">
        <f t="shared" si="49"/>
        <v>Infinite</v>
      </c>
      <c r="H94">
        <f t="shared" si="50"/>
        <v>0</v>
      </c>
    </row>
    <row r="95" spans="1:8" x14ac:dyDescent="0.35">
      <c r="A95" t="s">
        <v>84</v>
      </c>
      <c r="B95" s="5">
        <f xml:space="preserve"> SUM(D83,D84,D85,D86,D87,D88,D89,D90,D91,D92,D93,D94)</f>
        <v>2062659.78</v>
      </c>
      <c r="C95" s="41" t="s">
        <v>109</v>
      </c>
      <c r="D95" s="41"/>
      <c r="E95" s="41"/>
      <c r="F95" s="41"/>
      <c r="G95" s="41"/>
      <c r="H95">
        <f>SUM(H83,H84,H85,H86,H87,H88,H89,H90,H91,H92,H93,H94)</f>
        <v>0.54607609480404962</v>
      </c>
    </row>
    <row r="97" spans="1:2" x14ac:dyDescent="0.35">
      <c r="A97" t="s">
        <v>108</v>
      </c>
      <c r="B97">
        <f>H65+H80+H95</f>
        <v>0.54607609480404962</v>
      </c>
    </row>
  </sheetData>
  <mergeCells count="25">
    <mergeCell ref="A51:H51"/>
    <mergeCell ref="A16:H16"/>
    <mergeCell ref="P16:W16"/>
    <mergeCell ref="P17:W17"/>
    <mergeCell ref="R31:V31"/>
    <mergeCell ref="P32:W32"/>
    <mergeCell ref="A17:H17"/>
    <mergeCell ref="A32:H32"/>
    <mergeCell ref="C31:G31"/>
    <mergeCell ref="P66:W66"/>
    <mergeCell ref="R80:V80"/>
    <mergeCell ref="A81:H81"/>
    <mergeCell ref="C95:G95"/>
    <mergeCell ref="R46:V46"/>
    <mergeCell ref="P47:W47"/>
    <mergeCell ref="P50:Y50"/>
    <mergeCell ref="P51:W51"/>
    <mergeCell ref="R65:V65"/>
    <mergeCell ref="A47:H47"/>
    <mergeCell ref="C46:G46"/>
    <mergeCell ref="C65:G65"/>
    <mergeCell ref="A66:H66"/>
    <mergeCell ref="C80:G80"/>
    <mergeCell ref="K50:O50"/>
    <mergeCell ref="A50:J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axle for damage</vt:lpstr>
      <vt:lpstr>fatigue 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SUBHALAXMI BALIARSINGH</dc:creator>
  <cp:lastModifiedBy>124CE0002 (SHUBHAYU MANDAL)</cp:lastModifiedBy>
  <cp:lastPrinted>2026-08-26T22:35:31Z</cp:lastPrinted>
  <dcterms:created xsi:type="dcterms:W3CDTF">2026-08-19T10:05:47Z</dcterms:created>
  <dcterms:modified xsi:type="dcterms:W3CDTF">2026-09-16T12:08:43Z</dcterms:modified>
</cp:coreProperties>
</file>