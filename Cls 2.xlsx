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5th Sem\Transport Lab\"/>
    </mc:Choice>
  </mc:AlternateContent>
  <xr:revisionPtr revIDLastSave="0" documentId="13_ncr:1_{D81740D9-5B6F-4E0C-AB1D-C4A90EAC0425}" xr6:coauthVersionLast="47" xr6:coauthVersionMax="47" xr10:uidLastSave="{00000000-0000-0000-0000-000000000000}"/>
  <bookViews>
    <workbookView xWindow="-110" yWindow="-110" windowWidth="19420" windowHeight="10300" xr2:uid="{18EB353D-829F-4DD8-AF7C-F54D860F2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12" i="1"/>
  <c r="B9" i="1"/>
  <c r="B7" i="1"/>
  <c r="B11" i="1" s="1"/>
  <c r="B8" i="1"/>
</calcChain>
</file>

<file path=xl/sharedStrings.xml><?xml version="1.0" encoding="utf-8"?>
<sst xmlns="http://schemas.openxmlformats.org/spreadsheetml/2006/main" count="17" uniqueCount="17">
  <si>
    <t>Initial Directional Traffic</t>
  </si>
  <si>
    <t>No of Days</t>
  </si>
  <si>
    <t>Traffic Growth Rate (r)</t>
  </si>
  <si>
    <t>Lateral Distribution Factor (D)</t>
  </si>
  <si>
    <t>Vehicle Damage Factor (F)</t>
  </si>
  <si>
    <t>Design life Period (N)</t>
  </si>
  <si>
    <t xml:space="preserve">N(des)[MSA] = </t>
  </si>
  <si>
    <t>Thickness of Granular Layer, h(mm)</t>
  </si>
  <si>
    <t>Effective CBR(%)</t>
  </si>
  <si>
    <t>M(rm) subgrade[MPa] =</t>
  </si>
  <si>
    <t>Ev (Vertical compressive strain) =</t>
  </si>
  <si>
    <t>C for (Et) =</t>
  </si>
  <si>
    <t>Vbe (effective binder content) (%)</t>
  </si>
  <si>
    <t>Va (air void) (%)</t>
  </si>
  <si>
    <t>M(rm) bituminous [Mpa] =</t>
  </si>
  <si>
    <t>M(rm) granular[MPa] =</t>
  </si>
  <si>
    <t>Et (Horizontal Tensile strain)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</si>
</sst>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94E3-1E0A-4307-BDC1-757DEDC4B109}">
  <dimension ref="A1:J13"/>
  <sheetViews>
    <sheetView tabSelected="1" zoomScale="78" zoomScaleNormal="78" workbookViewId="0">
      <selection activeCell="B13" sqref="B13"/>
    </sheetView>
  </sheetViews>
  <sheetFormatPr defaultRowHeight="14.5" x14ac:dyDescent="0.35"/>
  <cols>
    <col min="1" max="1" width="27.90625" customWidth="1"/>
    <col min="2" max="2" width="9.7265625" customWidth="1"/>
    <col min="3" max="3" width="18.6328125" customWidth="1"/>
    <col min="4" max="4" width="24.81640625" customWidth="1"/>
    <col min="5" max="5" width="22.90625" customWidth="1"/>
    <col min="6" max="6" width="17.81640625" customWidth="1"/>
    <col min="7" max="7" width="14.26953125" customWidth="1"/>
    <col min="8" max="8" width="30.81640625" customWidth="1"/>
    <col min="9" max="9" width="28.26953125" customWidth="1"/>
    <col min="10" max="10" width="14.7265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7</v>
      </c>
      <c r="I1" s="2" t="s">
        <v>12</v>
      </c>
      <c r="J1" s="2" t="s">
        <v>13</v>
      </c>
    </row>
    <row r="2" spans="1:10" x14ac:dyDescent="0.35">
      <c r="A2" s="1">
        <v>2500</v>
      </c>
      <c r="B2" s="1">
        <v>365</v>
      </c>
      <c r="C2" s="1">
        <v>0.06</v>
      </c>
      <c r="D2" s="1">
        <v>0.75</v>
      </c>
      <c r="E2" s="1">
        <v>5.2</v>
      </c>
      <c r="F2" s="1">
        <v>20</v>
      </c>
      <c r="G2" s="1">
        <v>7</v>
      </c>
      <c r="H2" s="1">
        <v>480</v>
      </c>
      <c r="I2" s="1">
        <v>11.5</v>
      </c>
      <c r="J2" s="1">
        <v>3</v>
      </c>
    </row>
    <row r="7" spans="1:10" x14ac:dyDescent="0.35">
      <c r="A7" s="2" t="s">
        <v>6</v>
      </c>
      <c r="B7" s="4">
        <f>((A2*B2*D2*E2*(((1+C2)^F2)-1)/C2)/10^6)</f>
        <v>130.91072269562457</v>
      </c>
    </row>
    <row r="8" spans="1:10" x14ac:dyDescent="0.35">
      <c r="A8" s="2" t="s">
        <v>9</v>
      </c>
      <c r="B8" s="4">
        <f>17.6*(G2)^0.64</f>
        <v>61.147036455796005</v>
      </c>
    </row>
    <row r="9" spans="1:10" x14ac:dyDescent="0.35">
      <c r="A9" s="2" t="s">
        <v>15</v>
      </c>
      <c r="B9" s="4">
        <f>((0.2*H2^0.45)*61)</f>
        <v>196.29913573474911</v>
      </c>
    </row>
    <row r="10" spans="1:10" x14ac:dyDescent="0.35">
      <c r="A10" s="2" t="s">
        <v>14</v>
      </c>
      <c r="B10" s="4">
        <v>3000</v>
      </c>
    </row>
    <row r="11" spans="1:10" x14ac:dyDescent="0.35">
      <c r="A11" s="2" t="s">
        <v>10</v>
      </c>
      <c r="B11" s="3">
        <f>(((1.41*10^(-8))/(B7*10^6))^(1/4.5337))</f>
        <v>3.0059775128446839E-4</v>
      </c>
    </row>
    <row r="12" spans="1:10" x14ac:dyDescent="0.35">
      <c r="A12" s="2" t="s">
        <v>11</v>
      </c>
      <c r="B12" s="3">
        <f>(10^(4.84*((I2/(I2+J2))-0.69)))</f>
        <v>3.1551549304020798</v>
      </c>
    </row>
    <row r="13" spans="1:10" x14ac:dyDescent="0.35">
      <c r="A13" s="2" t="s">
        <v>16</v>
      </c>
      <c r="B13" s="3">
        <f>(((0.5161*B12*10^(-4)*(1/B10)^(0.854))/(B7*10^6))^(1/3.89))</f>
        <v>1.500286618486955E-4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124CE0002 (SHUBHAYU MANDAL)</dc:creator>
  <cp:lastModifiedBy>124CE0002 (SHUBHAYU MANDAL)</cp:lastModifiedBy>
  <dcterms:created xsi:type="dcterms:W3CDTF">2026-08-12T09:19:59Z</dcterms:created>
  <dcterms:modified xsi:type="dcterms:W3CDTF">2026-08-12T10:32:20Z</dcterms:modified>
</cp:coreProperties>
</file>